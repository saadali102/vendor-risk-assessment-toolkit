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Dashboard" sheetId="2" state="visible" r:id="rId4"/>
    <sheet name="Vendor_Register" sheetId="3" state="visible" r:id="rId5"/>
    <sheet name="Methodology" sheetId="4" state="visible" r:id="rId6"/>
    <sheet name="Questionnaire" sheetId="5" state="visible" r:id="rId7"/>
    <sheet name="Assessment_Results" sheetId="6" state="visible" r:id="rId8"/>
    <sheet name="Due_Diligence" sheetId="7" state="visible" r:id="rId9"/>
    <sheet name="Risk_Register" sheetId="8" state="visible" r:id="rId10"/>
    <sheet name="Approval_Workflow" sheetId="9" state="visible" r:id="rId11"/>
    <sheet name="Monitoring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<sst xmlns="http://schemas.openxmlformats.org/spreadsheetml/2006/main" count="1583" uniqueCount="853">
  <si>
    <t xml:space="preserve">Third-Party &amp; Vendor Risk Management Program Workbook</t>
  </si>
  <si>
    <t xml:space="preserve">Vendor assessment package for an organization using cloud providers and AI software vendors. Sample organization: Meridian Analytics Group (fictional); all vendors and data are fictional.</t>
  </si>
  <si>
    <t xml:space="preserve">Purpose</t>
  </si>
  <si>
    <t xml:space="preserve">Provides a complete, reusable vendor risk assessment package: questionnaire, inherent and residual risk scoring, due diligence checklist, vendor risk register, approval workflow and monitoring schedule. Aligned to ISO/IEC 27001:2022 (Annex A.5.19–A.5.23), ISO/IEC 42001:2023, NIST CSF 2.0 (GV.SC) and NIST AI RMF.</t>
  </si>
  <si>
    <t xml:space="preserve">How to use</t>
  </si>
  <si>
    <t xml:space="preserve">1. Review and adjust scoring parameters in Methodology (weights, thresholds, cadence) to match your risk appetite.
2. Add each vendor in Vendor_Register and score the six inherent risk factors (1–5).
3. Send the Questionnaire; record the vendor's answers in that vendor's column.
4. Work through Due_Diligence for the vendor (select the Vendor ID in cell B3).
5. Review Assessment_Results and the recommended decision in Vendor_Register.
6. Log individual risks and treatment plans in Risk_Register.
7. Obtain approval per Approval_Workflow and set the review dates in Monitoring.</t>
  </si>
  <si>
    <t xml:space="preserve">Colour legend</t>
  </si>
  <si>
    <t xml:space="preserve">Blue text on a pale yellow fill = input cell you may edit.  Black text = formula (do not overwrite).  Rating colours: green = Low, yellow = Medium, orange = High, dark red = Critical.</t>
  </si>
  <si>
    <t xml:space="preserve">Sheets</t>
  </si>
  <si>
    <t xml:space="preserve">Dashboard – portfolio summary and heat map
Vendor_Register – inventory, inherent and residual scoring, decision, review dates
Methodology – all weights, thresholds and assumptions
Questionnaire – 51 weighted control questions (incl. 8 AI-specific), 7 critical controls
Assessment_Results – control effectiveness by vendor and domain
Due_Diligence – 34-item checklist (general, cloud and AI)
Risk_Register – 5×5 scored vendor risks with treatment
Approval_Workflow – 10-stage workflow, authority matrix, exception rules
Monitoring – cadence by tier, calculated review calendar, triggers</t>
  </si>
  <si>
    <t xml:space="preserve">Sample data</t>
  </si>
  <si>
    <t xml:space="preserve">Six fictional vendors (two cloud infrastructure/backup, one SaaS CRM, one survey tool, two AI platforms) demonstrate every rating band, a critical control gap, an overdue reassessment and an expired attestation. Delete or overwrite them before real use. Capacity: 10 vendors in the register and questionnaire, 30 risks in Risk_Register.</t>
  </si>
  <si>
    <t xml:space="preserve">Assumptions &amp; limits</t>
  </si>
  <si>
    <t xml:space="preserve">Weights, thresholds, the 70% maximum risk reduction and the impact scale are illustrative defaults, not regulatory requirements; calibrate them to the organization. Standard control mappings are indicative and should be validated against the published standards. The assessment as-of date is set in Methodology!B4 (use =TODAY() for live tracking).</t>
  </si>
  <si>
    <t xml:space="preserve">Confidentiality</t>
  </si>
  <si>
    <t xml:space="preserve">Never store real vendor questionnaires, contracts, credentials or client data in a public repository.</t>
  </si>
  <si>
    <t xml:space="preserve">Version</t>
  </si>
  <si>
    <t xml:space="preserve">v1.0  |  Created October 2026  |  Author: Saad Ali</t>
  </si>
  <si>
    <t xml:space="preserve">Third-Party Risk Dashboard</t>
  </si>
  <si>
    <t xml:space="preserve">Sample organization: Meridian Analytics Group (fictional). All figures calculate from the other sheets.</t>
  </si>
  <si>
    <t xml:space="preserve">Key indicators</t>
  </si>
  <si>
    <t xml:space="preserve">Vendors in register</t>
  </si>
  <si>
    <t xml:space="preserve">Average inherent risk score</t>
  </si>
  <si>
    <t xml:space="preserve">Average control effectiveness</t>
  </si>
  <si>
    <t xml:space="preserve">Vendors with critical control gaps</t>
  </si>
  <si>
    <t xml:space="preserve">Reassessments overdue</t>
  </si>
  <si>
    <t xml:space="preserve">Open vendor risks (open or in progress)</t>
  </si>
  <si>
    <t xml:space="preserve">High or Critical residual risks (open items)</t>
  </si>
  <si>
    <t xml:space="preserve">Risk rating distribution (vendors)</t>
  </si>
  <si>
    <t xml:space="preserve">Rating</t>
  </si>
  <si>
    <t xml:space="preserve">Inherent</t>
  </si>
  <si>
    <t xml:space="preserve">Residual</t>
  </si>
  <si>
    <t xml:space="preserve">Low</t>
  </si>
  <si>
    <t xml:space="preserve">Medium</t>
  </si>
  <si>
    <t xml:space="preserve">High</t>
  </si>
  <si>
    <t xml:space="preserve">Critical</t>
  </si>
  <si>
    <t xml:space="preserve">Approval status</t>
  </si>
  <si>
    <t xml:space="preserve">Status</t>
  </si>
  <si>
    <t xml:space="preserve">Vendors</t>
  </si>
  <si>
    <t xml:space="preserve">Prospective</t>
  </si>
  <si>
    <t xml:space="preserve">Under Review</t>
  </si>
  <si>
    <t xml:space="preserve">Approved</t>
  </si>
  <si>
    <t xml:space="preserve">Conditionally Approved</t>
  </si>
  <si>
    <t xml:space="preserve">Rejected</t>
  </si>
  <si>
    <t xml:space="preserve">Offboarded</t>
  </si>
  <si>
    <t xml:space="preserve">Residual risk heat map (Risk_Register: count of risks)</t>
  </si>
  <si>
    <t xml:space="preserve">Impact ↓ / Likelihood →</t>
  </si>
  <si>
    <t xml:space="preserve">Vendor snapshot</t>
  </si>
  <si>
    <t xml:space="preserve">Vendor</t>
  </si>
  <si>
    <t xml:space="preserve">Control effectiveness</t>
  </si>
  <si>
    <t xml:space="preserve">Recommended decision</t>
  </si>
  <si>
    <t xml:space="preserve">Vendor Register – Inherent &amp; Residual Risk</t>
  </si>
  <si>
    <t xml:space="preserve">Sample organization: Meridian Analytics Group (fictional). Vendors are fictional. Enter the 6 factor scores (1–5); everything else calculates.</t>
  </si>
  <si>
    <t xml:space="preserve">Vendor ID</t>
  </si>
  <si>
    <t xml:space="preserve">Vendor name</t>
  </si>
  <si>
    <t xml:space="preserve">Service provided</t>
  </si>
  <si>
    <t xml:space="preserve">Category</t>
  </si>
  <si>
    <t xml:space="preserve">Business owner</t>
  </si>
  <si>
    <t xml:space="preserve">Data sensitivity (1–5)</t>
  </si>
  <si>
    <t xml:space="preserve">Business criticality (1–5)</t>
  </si>
  <si>
    <t xml:space="preserve">System / network access (1–5)</t>
  </si>
  <si>
    <t xml:space="preserve">Regulatory exposure (1–5)</t>
  </si>
  <si>
    <t xml:space="preserve">Substitutability (1–5)</t>
  </si>
  <si>
    <t xml:space="preserve">AI impact (1–5)</t>
  </si>
  <si>
    <t xml:space="preserve">Inherent score (20–100)</t>
  </si>
  <si>
    <t xml:space="preserve">Inherent rating</t>
  </si>
  <si>
    <t xml:space="preserve">Critical gaps</t>
  </si>
  <si>
    <t xml:space="preserve">Residual score</t>
  </si>
  <si>
    <t xml:space="preserve">Residual rating</t>
  </si>
  <si>
    <t xml:space="preserve">Required approver</t>
  </si>
  <si>
    <t xml:space="preserve">Last assessment</t>
  </si>
  <si>
    <t xml:space="preserve">Review cycle (months)</t>
  </si>
  <si>
    <t xml:space="preserve">Next review due</t>
  </si>
  <si>
    <t xml:space="preserve">Review status</t>
  </si>
  <si>
    <t xml:space="preserve">Contract renewal</t>
  </si>
  <si>
    <t xml:space="preserve">Notes</t>
  </si>
  <si>
    <t xml:space="preserve">V-001</t>
  </si>
  <si>
    <t xml:space="preserve">Stratus Cloud Infrastructure</t>
  </si>
  <si>
    <t xml:space="preserve">IaaS/PaaS hosting for production workloads and databases</t>
  </si>
  <si>
    <t xml:space="preserve">Cloud Infrastructure (IaaS/PaaS)</t>
  </si>
  <si>
    <t xml:space="preserve">Head of Infrastructure</t>
  </si>
  <si>
    <t xml:space="preserve">V-002</t>
  </si>
  <si>
    <t xml:space="preserve">NimbusAI Language Platform</t>
  </si>
  <si>
    <t xml:space="preserve">Hosted large-language-model API embedded in the customer support assistant</t>
  </si>
  <si>
    <t xml:space="preserve">AI/ML Software</t>
  </si>
  <si>
    <t xml:space="preserve">Director of Customer Support</t>
  </si>
  <si>
    <t xml:space="preserve">Pending approval: critical gap on AI data-use commitment (see Risk_Register VR-004).</t>
  </si>
  <si>
    <t xml:space="preserve">V-003</t>
  </si>
  <si>
    <t xml:space="preserve">Orbit CRM Suite</t>
  </si>
  <si>
    <t xml:space="preserve">SaaS CRM storing customer contact and contract data</t>
  </si>
  <si>
    <t xml:space="preserve">SaaS Application</t>
  </si>
  <si>
    <t xml:space="preserve">VP Sales</t>
  </si>
  <si>
    <t xml:space="preserve">Attestation expired; remediation plan agreed with vendor.</t>
  </si>
  <si>
    <t xml:space="preserve">V-004</t>
  </si>
  <si>
    <t xml:space="preserve">InsightML Analytics</t>
  </si>
  <si>
    <t xml:space="preserve">AI-driven usage analytics and churn-prediction service</t>
  </si>
  <si>
    <t xml:space="preserve">Head of Data Science</t>
  </si>
  <si>
    <t xml:space="preserve">Full reassessment overdue; scheduled for Q4.</t>
  </si>
  <si>
    <t xml:space="preserve">V-005</t>
  </si>
  <si>
    <t xml:space="preserve">Cirrus Backup &amp; Recovery</t>
  </si>
  <si>
    <t xml:space="preserve">Cloud backup and disaster-recovery service</t>
  </si>
  <si>
    <t xml:space="preserve">IT Operations Manager</t>
  </si>
  <si>
    <t xml:space="preserve">V-006</t>
  </si>
  <si>
    <t xml:space="preserve">Brightleaf Survey Tool</t>
  </si>
  <si>
    <t xml:space="preserve">Online survey platform for employee and customer feedback</t>
  </si>
  <si>
    <t xml:space="preserve">Marketing Manager</t>
  </si>
  <si>
    <t xml:space="preserve">Legend: blue text on yellow = input; black = formula. Inherent rating drives review cycle and monitoring tier; residual rating drives the approval authority.</t>
  </si>
  <si>
    <t xml:space="preserve">Scoring Methodology &amp; Assumptions</t>
  </si>
  <si>
    <t xml:space="preserve">All scoring parameters live here. Blue cells on a yellow fill are editable; every other sheet recalculates from them.</t>
  </si>
  <si>
    <t xml:space="preserve">1. Program parameters</t>
  </si>
  <si>
    <t xml:space="preserve">Assessment as-of date</t>
  </si>
  <si>
    <t xml:space="preserve">Reference date for 'overdue' and 'due soon' flags. Replace with =TODAY() for live tracking.</t>
  </si>
  <si>
    <t xml:space="preserve">Maximum risk reduction from controls</t>
  </si>
  <si>
    <t xml:space="preserve">Assumption: even perfect vendor controls cannot remove more than 70% of inherent risk (residual risk never reaches zero).</t>
  </si>
  <si>
    <t xml:space="preserve">Inherent score scale factor</t>
  </si>
  <si>
    <t xml:space="preserve">Weighted average of factor scores (1–5) × 20 produces a 20–100 inherent risk score.</t>
  </si>
  <si>
    <t xml:space="preserve">2. Inherent risk factors &amp; weights (score each vendor 1–5 per factor)</t>
  </si>
  <si>
    <t xml:space="preserve">Factor</t>
  </si>
  <si>
    <t xml:space="preserve">Weight</t>
  </si>
  <si>
    <t xml:space="preserve">1 – Minimal</t>
  </si>
  <si>
    <t xml:space="preserve">2 – Low</t>
  </si>
  <si>
    <t xml:space="preserve">3 – Moderate</t>
  </si>
  <si>
    <t xml:space="preserve">4 – High</t>
  </si>
  <si>
    <t xml:space="preserve">5 – Severe</t>
  </si>
  <si>
    <t xml:space="preserve">Data sensitivity</t>
  </si>
  <si>
    <t xml:space="preserve">No data shared, or public data only</t>
  </si>
  <si>
    <t xml:space="preserve">Internal, non-sensitive data</t>
  </si>
  <si>
    <t xml:space="preserve">Confidential business data</t>
  </si>
  <si>
    <t xml:space="preserve">Personal data (PII) or financial data</t>
  </si>
  <si>
    <t xml:space="preserve">Special-category data, PHI, payment card data, credentials or crown-jewel IP at scale</t>
  </si>
  <si>
    <t xml:space="preserve">Business criticality</t>
  </si>
  <si>
    <t xml:space="preserve">Convenience tool; no impact if unavailable</t>
  </si>
  <si>
    <t xml:space="preserve">Minor disruption; manual workaround exists</t>
  </si>
  <si>
    <t xml:space="preserve">Degraded operations beyond one business day</t>
  </si>
  <si>
    <t xml:space="preserve">Significant revenue or customer impact within hours</t>
  </si>
  <si>
    <t xml:space="preserve">Mission-critical; outage stops core service within 4 hours</t>
  </si>
  <si>
    <t xml:space="preserve">System / network access</t>
  </si>
  <si>
    <t xml:space="preserve">No access to systems or networks</t>
  </si>
  <si>
    <t xml:space="preserve">Limited read-only access to non-sensitive systems</t>
  </si>
  <si>
    <t xml:space="preserve">Standard user or API access to internal systems</t>
  </si>
  <si>
    <t xml:space="preserve">Privileged or integrated access to production systems</t>
  </si>
  <si>
    <t xml:space="preserve">Hosts or administers production environment; network-level trust</t>
  </si>
  <si>
    <t xml:space="preserve">Regulatory exposure</t>
  </si>
  <si>
    <t xml:space="preserve">No regulatory relevance</t>
  </si>
  <si>
    <t xml:space="preserve">Minor contractual or policy requirements</t>
  </si>
  <si>
    <t xml:space="preserve">General privacy law applies</t>
  </si>
  <si>
    <t xml:space="preserve">Regulated data or activity (GDPR, HIPAA, PCI DSS, SOX)</t>
  </si>
  <si>
    <t xml:space="preserve">Multiple regimes; high penalties; regulator scrutiny</t>
  </si>
  <si>
    <t xml:space="preserve">Substitutability (lock-in)</t>
  </si>
  <si>
    <t xml:space="preserve">Many alternatives; switch in under 1 month</t>
  </si>
  <si>
    <t xml:space="preserve">Alternatives exist; switch in 1–3 months</t>
  </si>
  <si>
    <t xml:space="preserve">Few alternatives; 3–6 months to switch</t>
  </si>
  <si>
    <t xml:space="preserve">Very few alternatives; 6+ months to migrate</t>
  </si>
  <si>
    <t xml:space="preserve">Sole source or locked in; no practical alternative</t>
  </si>
  <si>
    <t xml:space="preserve">AI impact</t>
  </si>
  <si>
    <t xml:space="preserve">No AI/ML functionality</t>
  </si>
  <si>
    <t xml:space="preserve">Embedded AI for low-risk convenience features</t>
  </si>
  <si>
    <t xml:space="preserve">AI informs internal decisions with human review</t>
  </si>
  <si>
    <t xml:space="preserve">AI processes sensitive data or shapes customer-facing outcomes</t>
  </si>
  <si>
    <t xml:space="preserve">Autonomous or high-impact AI decisions affecting individuals (possible EU AI Act high-risk use)</t>
  </si>
  <si>
    <t xml:space="preserve">Total weight (must equal 100%)</t>
  </si>
  <si>
    <t xml:space="preserve">3. Rating bands, review cadence &amp; monitoring intervals</t>
  </si>
  <si>
    <t xml:space="preserve">Inherent score ≥</t>
  </si>
  <si>
    <t xml:space="preserve">Residual score ≥</t>
  </si>
  <si>
    <t xml:space="preserve">Full reassessment (months)</t>
  </si>
  <si>
    <t xml:space="preserve">Interim check (months; 0 = at renewal)</t>
  </si>
  <si>
    <t xml:space="preserve">Treatment</t>
  </si>
  <si>
    <t xml:space="preserve">Streamlined assessment; standard onboarding; monitor at renewal.</t>
  </si>
  <si>
    <t xml:space="preserve">Full questionnaire; annual attestation; standard monitoring.</t>
  </si>
  <si>
    <t xml:space="preserve">Full assessment with evidence validation; semi-annual checks; remediation plan required for gaps.</t>
  </si>
  <si>
    <t xml:space="preserve">Enhanced due diligence; quarterly checks; executive approval and exit plan required.</t>
  </si>
  <si>
    <t xml:space="preserve">Bands must stay in ascending order (Low → Critical). Residual thresholds are lower than inherent thresholds because residual scores are reduced by control effectiveness.</t>
  </si>
  <si>
    <t xml:space="preserve">4. Questionnaire response values</t>
  </si>
  <si>
    <t xml:space="preserve">Response</t>
  </si>
  <si>
    <t xml:space="preserve">Value</t>
  </si>
  <si>
    <t xml:space="preserve">Treatment in scoring</t>
  </si>
  <si>
    <t xml:space="preserve">Yes</t>
  </si>
  <si>
    <t xml:space="preserve">Control fully implemented and evidenced</t>
  </si>
  <si>
    <t xml:space="preserve">Partial</t>
  </si>
  <si>
    <t xml:space="preserve">Partially implemented, planned, or evidence incomplete</t>
  </si>
  <si>
    <t xml:space="preserve">No</t>
  </si>
  <si>
    <t xml:space="preserve">Control absent</t>
  </si>
  <si>
    <t xml:space="preserve">N/A</t>
  </si>
  <si>
    <t xml:space="preserve">Excluded</t>
  </si>
  <si>
    <t xml:space="preserve">Not applicable; removed from numerator and denominator</t>
  </si>
  <si>
    <t xml:space="preserve">5. How the scores are calculated</t>
  </si>
  <si>
    <t xml:space="preserve">Inherent Risk Score = Σ(factor score × weight) ÷ Σ(weights) × scale factor   →  range 20–100.</t>
  </si>
  <si>
    <t xml:space="preserve">Control Effectiveness (CE) = Σ(question weight × response value) ÷ Σ(question weight of answered, applicable questions)   →  0–100%.</t>
  </si>
  <si>
    <t xml:space="preserve">Residual Risk Score = Inherent Risk Score × (1 − CE × maximum risk reduction).</t>
  </si>
  <si>
    <t xml:space="preserve">Critical controls answered 'No' are counted as critical gaps and block approval until remediated or formally accepted, regardless of the residual score.</t>
  </si>
  <si>
    <t xml:space="preserve">Rating = lookup of the score against the band thresholds in section 3.</t>
  </si>
  <si>
    <t xml:space="preserve">6. Risk Register 5×5 scale (likelihood × impact)</t>
  </si>
  <si>
    <t xml:space="preserve">Score</t>
  </si>
  <si>
    <t xml:space="preserve">Likelihood</t>
  </si>
  <si>
    <t xml:space="preserve">Description</t>
  </si>
  <si>
    <t xml:space="preserve">Rare</t>
  </si>
  <si>
    <t xml:space="preserve">Less than 5% chance within 12 months</t>
  </si>
  <si>
    <t xml:space="preserve">Unlikely</t>
  </si>
  <si>
    <t xml:space="preserve">5–20% chance within 12 months</t>
  </si>
  <si>
    <t xml:space="preserve">Possible</t>
  </si>
  <si>
    <t xml:space="preserve">20–50% chance within 12 months</t>
  </si>
  <si>
    <t xml:space="preserve">Likely</t>
  </si>
  <si>
    <t xml:space="preserve">50–80% chance within 12 months</t>
  </si>
  <si>
    <t xml:space="preserve">Almost certain</t>
  </si>
  <si>
    <t xml:space="preserve">More than 80% chance within 12 months</t>
  </si>
  <si>
    <t xml:space="preserve">Impact</t>
  </si>
  <si>
    <t xml:space="preserve">Description (illustrative; calibrate to your risk appetite)</t>
  </si>
  <si>
    <t xml:space="preserve">Negligible</t>
  </si>
  <si>
    <t xml:space="preserve">Under $10k; no data exposure; no regulatory interest</t>
  </si>
  <si>
    <t xml:space="preserve">Minor</t>
  </si>
  <si>
    <t xml:space="preserve">$10k–$50k; limited internal data exposure; disruption under 4 hours</t>
  </si>
  <si>
    <t xml:space="preserve">Moderate</t>
  </si>
  <si>
    <t xml:space="preserve">$50k–$250k; limited personal data; 4–24 hours disruption; regulatory enquiry possible</t>
  </si>
  <si>
    <t xml:space="preserve">Major</t>
  </si>
  <si>
    <t xml:space="preserve">$250k–$1M; significant personal data breach; 1–3 days outage; regulatory action likely</t>
  </si>
  <si>
    <t xml:space="preserve">Severe</t>
  </si>
  <si>
    <t xml:space="preserve">Over $1M; large-scale breach; outage over 3 days; major litigation or loss of licence</t>
  </si>
  <si>
    <t xml:space="preserve">Score (L × I) ≥</t>
  </si>
  <si>
    <t xml:space="preserve">Vendor Security &amp; Risk Questionnaire</t>
  </si>
  <si>
    <t xml:space="preserve">Complete one response column per vendor (Yes / Partial / No / N/A). Weighted scoring feeds Assessment_Results. Sample responses are fictional.</t>
  </si>
  <si>
    <t xml:space="preserve">Vendor ID →</t>
  </si>
  <si>
    <t xml:space="preserve">Q ID</t>
  </si>
  <si>
    <t xml:space="preserve">Domain</t>
  </si>
  <si>
    <t xml:space="preserve">Question</t>
  </si>
  <si>
    <t xml:space="preserve">Applies to</t>
  </si>
  <si>
    <t xml:space="preserve">Weight (1–3)</t>
  </si>
  <si>
    <t xml:space="preserve">Critical control</t>
  </si>
  <si>
    <t xml:space="preserve">ISO/IEC 27001:2022 / 42001 reference</t>
  </si>
  <si>
    <t xml:space="preserve">NIST CSF 2.0 / AI RMF reference</t>
  </si>
  <si>
    <t xml:space="preserve">Evidence expected</t>
  </si>
  <si>
    <t xml:space="preserve">GOV-01</t>
  </si>
  <si>
    <t xml:space="preserve">Governance &amp; Risk Management</t>
  </si>
  <si>
    <t xml:space="preserve">Does the vendor maintain a documented information security policy, approved by management and reviewed at least annually?</t>
  </si>
  <si>
    <t xml:space="preserve">All</t>
  </si>
  <si>
    <t xml:space="preserve">ISO 27001 A.5.1</t>
  </si>
  <si>
    <t xml:space="preserve">CSF GV.PO</t>
  </si>
  <si>
    <t xml:space="preserve">Policy document with approval and review history</t>
  </si>
  <si>
    <t xml:space="preserve">GOV-02</t>
  </si>
  <si>
    <t xml:space="preserve">Does the vendor hold a current independent attestation or certification (ISO/IEC 27001 or SOC 2 Type II) covering the in-scope services?</t>
  </si>
  <si>
    <t xml:space="preserve">ISO 27001 Cl. 9.2, A.5.35</t>
  </si>
  <si>
    <t xml:space="preserve">CSF GV.SC-07</t>
  </si>
  <si>
    <t xml:space="preserve">Certificate or SOC 2 report: scope, period, exceptions</t>
  </si>
  <si>
    <t xml:space="preserve">GOV-03</t>
  </si>
  <si>
    <t xml:space="preserve">Is there a named executive accountable for information security (CISO or equivalent) and a dedicated security function?</t>
  </si>
  <si>
    <t xml:space="preserve">ISO 27001 A.5.2</t>
  </si>
  <si>
    <t xml:space="preserve">CSF GV.RR</t>
  </si>
  <si>
    <t xml:space="preserve">Organization chart; security team description</t>
  </si>
  <si>
    <t xml:space="preserve">GOV-04</t>
  </si>
  <si>
    <t xml:space="preserve">Does the vendor perform formal information security risk assessments at least annually and track risks to closure?</t>
  </si>
  <si>
    <t xml:space="preserve">ISO 27001 Cl. 6.1.2</t>
  </si>
  <si>
    <t xml:space="preserve">CSF ID.RA</t>
  </si>
  <si>
    <t xml:space="preserve">Risk assessment methodology and sample register</t>
  </si>
  <si>
    <t xml:space="preserve">GOV-05</t>
  </si>
  <si>
    <t xml:space="preserve">Do all personnel complete security awareness training at onboarding and annually, with background screening where legally permitted?</t>
  </si>
  <si>
    <t xml:space="preserve">ISO 27001 A.6.1, A.6.3</t>
  </si>
  <si>
    <t xml:space="preserve">CSF PR.AT</t>
  </si>
  <si>
    <t xml:space="preserve">Training records; screening policy</t>
  </si>
  <si>
    <t xml:space="preserve">IAM-01</t>
  </si>
  <si>
    <t xml:space="preserve">Identity &amp; Access Management</t>
  </si>
  <si>
    <t xml:space="preserve">Is multi-factor authentication enforced for all workforce access to in-scope systems and for all privileged or administrative access?</t>
  </si>
  <si>
    <t xml:space="preserve">ISO 27001 A.5.17, A.8.5</t>
  </si>
  <si>
    <t xml:space="preserve">CSF PR.AA</t>
  </si>
  <si>
    <t xml:space="preserve">MFA policy; configuration screenshots</t>
  </si>
  <si>
    <t xml:space="preserve">IAM-02</t>
  </si>
  <si>
    <t xml:space="preserve">Is access granted on least-privilege, role-based principles with documented approval and reviewed at least quarterly?</t>
  </si>
  <si>
    <t xml:space="preserve">ISO 27001 A.5.15, A.5.18</t>
  </si>
  <si>
    <t xml:space="preserve">Access control policy; latest access review</t>
  </si>
  <si>
    <t xml:space="preserve">IAM-03</t>
  </si>
  <si>
    <t xml:space="preserve">Is privileged access tightly managed (separate admin accounts, PAM or just-in-time access, session logging)?</t>
  </si>
  <si>
    <t xml:space="preserve">ISO 27001 A.8.2</t>
  </si>
  <si>
    <t xml:space="preserve">PAM tooling evidence; privileged user list</t>
  </si>
  <si>
    <t xml:space="preserve">IAM-04</t>
  </si>
  <si>
    <t xml:space="preserve">Does the joiner-mover-leaver process revoke access within 24 hours of termination?</t>
  </si>
  <si>
    <t xml:space="preserve">ISO 27001 A.5.18, A.6.5</t>
  </si>
  <si>
    <t xml:space="preserve">Offboarding procedure; sample tickets</t>
  </si>
  <si>
    <t xml:space="preserve">IAM-05</t>
  </si>
  <si>
    <t xml:space="preserve">Does the service support SSO (SAML/OIDC), MFA and role-based access for customer users?</t>
  </si>
  <si>
    <t xml:space="preserve">ISO 27001 A.5.16, A.8.5</t>
  </si>
  <si>
    <t xml:space="preserve">Product documentation</t>
  </si>
  <si>
    <t xml:space="preserve">DAT-01</t>
  </si>
  <si>
    <t xml:space="preserve">Data Protection &amp; Privacy</t>
  </si>
  <si>
    <t xml:space="preserve">Is customer data encrypted at rest using industry-standard algorithms (e.g., AES-256)?</t>
  </si>
  <si>
    <t xml:space="preserve">ISO 27001 A.8.24</t>
  </si>
  <si>
    <t xml:space="preserve">CSF PR.DS</t>
  </si>
  <si>
    <t xml:space="preserve">Architecture document; encryption configuration</t>
  </si>
  <si>
    <t xml:space="preserve">DAT-02</t>
  </si>
  <si>
    <t xml:space="preserve">Is customer data encrypted in transit using TLS 1.2 or higher?</t>
  </si>
  <si>
    <t xml:space="preserve">ISO 27001 A.8.24, A.5.14</t>
  </si>
  <si>
    <t xml:space="preserve">TLS configuration; external scan result</t>
  </si>
  <si>
    <t xml:space="preserve">DAT-03</t>
  </si>
  <si>
    <t xml:space="preserve">Are data classification, retention and secure deletion procedures documented, with data returned or deleted within an agreed period at termination?</t>
  </si>
  <si>
    <t xml:space="preserve">ISO 27001 A.5.12, A.8.10</t>
  </si>
  <si>
    <t xml:space="preserve">Retention policy; deletion certificate sample</t>
  </si>
  <si>
    <t xml:space="preserve">DAT-04</t>
  </si>
  <si>
    <t xml:space="preserve">Are data residency and cross-border transfer locations disclosed and contractually committed, with lawful transfer mechanisms (e.g., SCCs)?</t>
  </si>
  <si>
    <t xml:space="preserve">ISO 27001 A.5.31, A.5.34</t>
  </si>
  <si>
    <t xml:space="preserve">CSF GV.OC-03</t>
  </si>
  <si>
    <t xml:space="preserve">Data location statement; DPA and transfer clauses</t>
  </si>
  <si>
    <t xml:space="preserve">DAT-05</t>
  </si>
  <si>
    <t xml:space="preserve">Are encryption keys managed securely (KMS or HSM, rotation, customer-managed key option)?</t>
  </si>
  <si>
    <t xml:space="preserve">Key management policy</t>
  </si>
  <si>
    <t xml:space="preserve">DAT-06</t>
  </si>
  <si>
    <t xml:space="preserve">Is production data segregated from non-production, and customer data logically separated (tenant isolation)?</t>
  </si>
  <si>
    <t xml:space="preserve">ISO 27001 A.8.22, A.8.31</t>
  </si>
  <si>
    <t xml:space="preserve">CSF PR.IR-01</t>
  </si>
  <si>
    <t xml:space="preserve">Architecture diagram; tenancy model description</t>
  </si>
  <si>
    <t xml:space="preserve">CLD-01</t>
  </si>
  <si>
    <t xml:space="preserve">Cloud &amp; Infrastructure Security</t>
  </si>
  <si>
    <t xml:space="preserve">Is the shared-responsibility model documented, with vendor and customer control responsibilities clearly defined?</t>
  </si>
  <si>
    <t xml:space="preserve">ISO 27001 A.5.23</t>
  </si>
  <si>
    <t xml:space="preserve">CSF GV.SC-05</t>
  </si>
  <si>
    <t xml:space="preserve">Shared responsibility matrix; CUEC list</t>
  </si>
  <si>
    <t xml:space="preserve">CLD-02</t>
  </si>
  <si>
    <t xml:space="preserve">Is the service hosted in certified data centers with physical security controls (ISO 27001 or SOC 2 audited facilities)?</t>
  </si>
  <si>
    <t xml:space="preserve">ISO 27001 A.7.1–A.7.4</t>
  </si>
  <si>
    <t xml:space="preserve">CSF PR.AA-06</t>
  </si>
  <si>
    <t xml:space="preserve">Hosting provider attestation</t>
  </si>
  <si>
    <t xml:space="preserve">CLD-03</t>
  </si>
  <si>
    <t xml:space="preserve">Are network segmentation, firewalls or WAF, and DDoS protection in place?</t>
  </si>
  <si>
    <t xml:space="preserve">ISO 27001 A.8.20, A.8.22</t>
  </si>
  <si>
    <t xml:space="preserve">Network architecture summary</t>
  </si>
  <si>
    <t xml:space="preserve">CLD-04</t>
  </si>
  <si>
    <t xml:space="preserve">Are secure configuration baselines (e.g., CIS Benchmarks) enforced with configuration drift monitoring?</t>
  </si>
  <si>
    <t xml:space="preserve">ISO 27001 A.8.9</t>
  </si>
  <si>
    <t xml:space="preserve">CSF PR.PS-01</t>
  </si>
  <si>
    <t xml:space="preserve">Hardening standard; CSPM evidence</t>
  </si>
  <si>
    <t xml:space="preserve">CLD-05</t>
  </si>
  <si>
    <t xml:space="preserve">Can customers access audit logs or security configuration data for their tenant (UI or API)?</t>
  </si>
  <si>
    <t xml:space="preserve">ISO 27001 A.8.15</t>
  </si>
  <si>
    <t xml:space="preserve">CSF DE.CM</t>
  </si>
  <si>
    <t xml:space="preserve">APP-01</t>
  </si>
  <si>
    <t xml:space="preserve">Application &amp; Vulnerability Management</t>
  </si>
  <si>
    <t xml:space="preserve">Is a secure SDLC documented, including code review, SAST/DAST and dependency scanning?</t>
  </si>
  <si>
    <t xml:space="preserve">ISO 27001 A.8.25, A.8.28, A.8.29</t>
  </si>
  <si>
    <t xml:space="preserve">CSF PR.PS-06</t>
  </si>
  <si>
    <t xml:space="preserve">SDLC policy; tooling evidence</t>
  </si>
  <si>
    <t xml:space="preserve">APP-02</t>
  </si>
  <si>
    <t xml:space="preserve">Is an independent penetration test performed at least annually, with high and critical findings remediated and a summary shared with customers?</t>
  </si>
  <si>
    <t xml:space="preserve">ISO 27001 A.8.8, A.8.29</t>
  </si>
  <si>
    <t xml:space="preserve">CSF ID.RA-01</t>
  </si>
  <si>
    <t xml:space="preserve">Pen test executive summary and remediation status</t>
  </si>
  <si>
    <t xml:space="preserve">APP-03</t>
  </si>
  <si>
    <t xml:space="preserve">Does vulnerability management apply defined remediation SLAs (e.g., critical within 15 days, high within 30 days)?</t>
  </si>
  <si>
    <t xml:space="preserve">ISO 27001 A.8.8</t>
  </si>
  <si>
    <t xml:space="preserve">Vulnerability management policy; SLA metrics</t>
  </si>
  <si>
    <t xml:space="preserve">APP-04</t>
  </si>
  <si>
    <t xml:space="preserve">Is formal change management in place, with approvals, testing and rollback procedures?</t>
  </si>
  <si>
    <t xml:space="preserve">ISO 27001 A.8.32</t>
  </si>
  <si>
    <t xml:space="preserve">Change management procedure; sample change record</t>
  </si>
  <si>
    <t xml:space="preserve">APP-05</t>
  </si>
  <si>
    <t xml:space="preserve">Are anti-malware or EDR tools deployed on endpoints and servers, with patching performed on a defined schedule?</t>
  </si>
  <si>
    <t xml:space="preserve">ISO 27001 A.8.7, A.8.19</t>
  </si>
  <si>
    <t xml:space="preserve">CSF PR.PS-02</t>
  </si>
  <si>
    <t xml:space="preserve">EDR coverage report; patching policy</t>
  </si>
  <si>
    <t xml:space="preserve">IRM-01</t>
  </si>
  <si>
    <t xml:space="preserve">Logging, Monitoring &amp; Incident Response</t>
  </si>
  <si>
    <t xml:space="preserve">Is there a documented incident response plan that is tested at least annually (tabletop or simulation)?</t>
  </si>
  <si>
    <t xml:space="preserve">ISO 27001 A.5.24, A.5.26</t>
  </si>
  <si>
    <t xml:space="preserve">CSF RS.MA</t>
  </si>
  <si>
    <t xml:space="preserve">IR plan; latest test report</t>
  </si>
  <si>
    <t xml:space="preserve">IRM-02</t>
  </si>
  <si>
    <t xml:space="preserve">Does the vendor contractually commit to notify customers of security incidents or breaches within 72 hours or less?</t>
  </si>
  <si>
    <t xml:space="preserve">ISO 27001 A.5.26, A.5.31</t>
  </si>
  <si>
    <t xml:space="preserve">CSF RS.CO</t>
  </si>
  <si>
    <t xml:space="preserve">Contract clause or DPA</t>
  </si>
  <si>
    <t xml:space="preserve">IRM-03</t>
  </si>
  <si>
    <t xml:space="preserve">Is centralized logging and 24/7 security monitoring (SIEM/SOC) in place for in-scope systems?</t>
  </si>
  <si>
    <t xml:space="preserve">ISO 27001 A.8.15, A.8.16</t>
  </si>
  <si>
    <t xml:space="preserve">Monitoring architecture; SOC coverage statement</t>
  </si>
  <si>
    <t xml:space="preserve">IRM-04</t>
  </si>
  <si>
    <t xml:space="preserve">Are logs retained for at least 12 months and protected from tampering?</t>
  </si>
  <si>
    <t xml:space="preserve">Log retention policy</t>
  </si>
  <si>
    <t xml:space="preserve">IRM-05</t>
  </si>
  <si>
    <t xml:space="preserve">Are post-incident reviews performed with lessons learned tracked, and any breach in the last 24 months disclosed?</t>
  </si>
  <si>
    <t xml:space="preserve">ISO 27001 A.5.27</t>
  </si>
  <si>
    <t xml:space="preserve">CSF ID.IM</t>
  </si>
  <si>
    <t xml:space="preserve">Post-incident review sample; breach disclosure</t>
  </si>
  <si>
    <t xml:space="preserve">BCR-01</t>
  </si>
  <si>
    <t xml:space="preserve">Business Continuity &amp; Resilience</t>
  </si>
  <si>
    <t xml:space="preserve">Are BCP and DR plans documented with RTO and RPO aligned to customer requirements?</t>
  </si>
  <si>
    <t xml:space="preserve">ISO 27001 A.5.29, A.5.30</t>
  </si>
  <si>
    <t xml:space="preserve">CSF RC.RP</t>
  </si>
  <si>
    <t xml:space="preserve">BCP/DR summary with RTO/RPO</t>
  </si>
  <si>
    <t xml:space="preserve">BCR-02</t>
  </si>
  <si>
    <t xml:space="preserve">Is DR or failover tested at least annually, with results documented?</t>
  </si>
  <si>
    <t xml:space="preserve">ISO 27001 A.5.30</t>
  </si>
  <si>
    <t xml:space="preserve">Latest DR test report</t>
  </si>
  <si>
    <t xml:space="preserve">BCR-03</t>
  </si>
  <si>
    <t xml:space="preserve">Are backups encrypted, restoration-tested and stored in a geographically separate location?</t>
  </si>
  <si>
    <t xml:space="preserve">ISO 27001 A.8.13</t>
  </si>
  <si>
    <t xml:space="preserve">CSF PR.DS-11</t>
  </si>
  <si>
    <t xml:space="preserve">Backup policy; restore test record</t>
  </si>
  <si>
    <t xml:space="preserve">BCR-04</t>
  </si>
  <si>
    <t xml:space="preserve">Is an availability SLA published (99.9% or better for critical services) with service credits and historical uptime reporting?</t>
  </si>
  <si>
    <t xml:space="preserve">ISO 27001 A.8.14</t>
  </si>
  <si>
    <t xml:space="preserve">CSF PR.IR-03</t>
  </si>
  <si>
    <t xml:space="preserve">SLA document; status page history</t>
  </si>
  <si>
    <t xml:space="preserve">4PM-01</t>
  </si>
  <si>
    <t xml:space="preserve">Subcontractor &amp; Fourth-Party Management</t>
  </si>
  <si>
    <t xml:space="preserve">Does the vendor maintain an inventory of subprocessors that handle customer data and share it with customers?</t>
  </si>
  <si>
    <t xml:space="preserve">ISO 27001 A.5.19, A.5.21</t>
  </si>
  <si>
    <t xml:space="preserve">CSF GV.SC-04</t>
  </si>
  <si>
    <t xml:space="preserve">Subprocessor list</t>
  </si>
  <si>
    <t xml:space="preserve">4PM-02</t>
  </si>
  <si>
    <t xml:space="preserve">Are subcontractors assessed before onboarding and monitored, with security and privacy obligations flowed down by contract?</t>
  </si>
  <si>
    <t xml:space="preserve">ISO 27001 A.5.20, A.5.22</t>
  </si>
  <si>
    <t xml:space="preserve">CSF GV.SC-05, GV.SC-07</t>
  </si>
  <si>
    <t xml:space="preserve">Vendor management procedure; sample assessment</t>
  </si>
  <si>
    <t xml:space="preserve">4PM-03</t>
  </si>
  <si>
    <t xml:space="preserve">Are customers notified in advance of new subprocessors, with a right to object?</t>
  </si>
  <si>
    <t xml:space="preserve">ISO 27001 A.5.20</t>
  </si>
  <si>
    <t xml:space="preserve">DPA clause; notification process</t>
  </si>
  <si>
    <t xml:space="preserve">4PM-04</t>
  </si>
  <si>
    <t xml:space="preserve">Is concentration risk understood, with no single point of failure in the sub-provider chain for critical services?</t>
  </si>
  <si>
    <t xml:space="preserve">ISO 27001 A.5.21</t>
  </si>
  <si>
    <t xml:space="preserve">CSF GV.SC-09</t>
  </si>
  <si>
    <t xml:space="preserve">Dependency map</t>
  </si>
  <si>
    <t xml:space="preserve">REG-01</t>
  </si>
  <si>
    <t xml:space="preserve">Legal, Regulatory &amp; Compliance</t>
  </si>
  <si>
    <t xml:space="preserve">Does the vendor comply with the laws and regulations relevant to the service (e.g., GDPR, HIPAA, CCPA/CPRA, PCI DSS) and sign a DPA or BAA where required?</t>
  </si>
  <si>
    <t xml:space="preserve">Compliance statement; executed DPA/BAA</t>
  </si>
  <si>
    <t xml:space="preserve">REG-02</t>
  </si>
  <si>
    <t xml:space="preserve">Does the contract include a right to audit or assess (or provide independent audit reports) and a security requirements schedule?</t>
  </si>
  <si>
    <t xml:space="preserve">Contract security schedule</t>
  </si>
  <si>
    <t xml:space="preserve">REG-03</t>
  </si>
  <si>
    <t xml:space="preserve">Does the vendor carry cyber liability or technology E&amp;O insurance with adequate coverage?</t>
  </si>
  <si>
    <t xml:space="preserve">ISO 27001 A.5.20 (contractual)</t>
  </si>
  <si>
    <t xml:space="preserve">Certificate of insurance</t>
  </si>
  <si>
    <t xml:space="preserve">REG-04</t>
  </si>
  <si>
    <t xml:space="preserve">Has the vendor been free of material regulatory actions, litigation or sanctions relating to security or privacy in the last 36 months?</t>
  </si>
  <si>
    <t xml:space="preserve">ISO 27001 A.5.31</t>
  </si>
  <si>
    <t xml:space="preserve">Vendor attestation; adverse media check</t>
  </si>
  <si>
    <t xml:space="preserve">AIG-01</t>
  </si>
  <si>
    <t xml:space="preserve">AI Governance &amp; Model Risk</t>
  </si>
  <si>
    <t xml:space="preserve">Does the vendor maintain an AI governance policy and an accountable owner for AI systems (aligned to ISO/IEC 42001 or NIST AI RMF)?</t>
  </si>
  <si>
    <t xml:space="preserve">AI</t>
  </si>
  <si>
    <t xml:space="preserve">ISO 42001 Cl. 5.2, Annex A.2</t>
  </si>
  <si>
    <t xml:space="preserve">AI RMF GOVERN 1</t>
  </si>
  <si>
    <t xml:space="preserve">AI policy; governance structure; 42001 certificate if held</t>
  </si>
  <si>
    <t xml:space="preserve">AIG-02</t>
  </si>
  <si>
    <t xml:space="preserve">Does the vendor contractually commit that customer data, prompts and outputs are NOT used to train or improve models without explicit opt-in?</t>
  </si>
  <si>
    <t xml:space="preserve">ISO 42001 Annex A.7, A.10.3</t>
  </si>
  <si>
    <t xml:space="preserve">AI RMF GOVERN 6</t>
  </si>
  <si>
    <t xml:space="preserve">Contract or DPA clause; data usage policy</t>
  </si>
  <si>
    <t xml:space="preserve">AIG-03</t>
  </si>
  <si>
    <t xml:space="preserve">Are AI system impact assessments performed (bias, safety, privacy) and available to customers on request?</t>
  </si>
  <si>
    <t xml:space="preserve">ISO 42001 Annex A.5</t>
  </si>
  <si>
    <t xml:space="preserve">AI RMF MAP 1, MAP 5</t>
  </si>
  <si>
    <t xml:space="preserve">Impact assessment summary</t>
  </si>
  <si>
    <t xml:space="preserve">AIG-04</t>
  </si>
  <si>
    <t xml:space="preserve">Is model or system documentation provided (model card, intended use, limitations, known risks)?</t>
  </si>
  <si>
    <t xml:space="preserve">ISO 42001 Annex A.8</t>
  </si>
  <si>
    <t xml:space="preserve">AI RMF GOVERN 4</t>
  </si>
  <si>
    <t xml:space="preserve">Model or system card</t>
  </si>
  <si>
    <t xml:space="preserve">AIG-05</t>
  </si>
  <si>
    <t xml:space="preserve">Is the system tested and monitored for accuracy, drift, bias, hallucination and robustness (including adversarial and prompt-injection testing) before release and in production?</t>
  </si>
  <si>
    <t xml:space="preserve">ISO 42001 Annex A.6.2.4, A.6.2.6</t>
  </si>
  <si>
    <t xml:space="preserve">AI RMF MEASURE 2, MANAGE 4</t>
  </si>
  <si>
    <t xml:space="preserve">Evaluation reports; monitoring dashboards</t>
  </si>
  <si>
    <t xml:space="preserve">AIG-06</t>
  </si>
  <si>
    <t xml:space="preserve">Are human oversight mechanisms available, allowing customers to review, override or opt out of AI-generated outputs or decisions?</t>
  </si>
  <si>
    <t xml:space="preserve">ISO 42001 Annex A.9</t>
  </si>
  <si>
    <t xml:space="preserve">AI RMF GOVERN 3</t>
  </si>
  <si>
    <t xml:space="preserve">Product documentation; configuration options</t>
  </si>
  <si>
    <t xml:space="preserve">AIG-07</t>
  </si>
  <si>
    <t xml:space="preserve">Are AI-specific security controls in place (model access control, prompt-injection and jailbreak defences, protection of training data and model artefacts, review of third-party models and components)?</t>
  </si>
  <si>
    <t xml:space="preserve">ISO 42001 Annex A.10; ISO 27001 A.8.28</t>
  </si>
  <si>
    <t xml:space="preserve">AI RMF MANAGE 3</t>
  </si>
  <si>
    <t xml:space="preserve">AI security architecture; red-team summary</t>
  </si>
  <si>
    <t xml:space="preserve">AIG-08</t>
  </si>
  <si>
    <t xml:space="preserve">Is there a defined process for AI incident reporting and customer notification (harmful outputs, model failure, data leakage), including alignment to applicable AI regulation (e.g., EU AI Act)?</t>
  </si>
  <si>
    <t xml:space="preserve">ISO 42001 Annex A.8.3, A.8.4</t>
  </si>
  <si>
    <t xml:space="preserve">AI RMF MANAGE 4</t>
  </si>
  <si>
    <t xml:space="preserve">AI incident procedure; regulatory mapping</t>
  </si>
  <si>
    <t xml:space="preserve">Mappings to ISO/IEC 27001:2022, ISO/IEC 42001:2023, NIST CSF 2.0 and NIST AI RMF 1.0 are indicative and should be validated against the current published standards before use in an audit.</t>
  </si>
  <si>
    <t xml:space="preserve">Mark AI-specific questions N/A for vendors without AI functionality. A 'No' on a Critical control is counted as a critical gap in Assessment_Results.</t>
  </si>
  <si>
    <t xml:space="preserve">Assessment Results – Control Effectiveness by Vendor</t>
  </si>
  <si>
    <t xml:space="preserve">Calculated from the Questionnaire. Domain scores = weighted share of controls implemented (Yes = 1, Partial = 0.5, No = 0; N/A excluded).</t>
  </si>
  <si>
    <t xml:space="preserve">Overall control effectiveness</t>
  </si>
  <si>
    <t xml:space="preserve">Questionnaire completion</t>
  </si>
  <si>
    <t xml:space="preserve">Shading: green ≥ 90% | orange &lt; 60% | 'N/A' = no applicable questions answered for that domain. Control effectiveness feeds the residual risk score in Vendor_Register.</t>
  </si>
  <si>
    <t xml:space="preserve">Vendor Due Diligence Checklist</t>
  </si>
  <si>
    <t xml:space="preserve">Select a vendor in B3, then work through the checklist. Mark items that do not apply to this vendor type as N/A.</t>
  </si>
  <si>
    <t xml:space="preserve">Vendor ID:</t>
  </si>
  <si>
    <t xml:space="preserve">Category:</t>
  </si>
  <si>
    <t xml:space="preserve">Inherent rating:</t>
  </si>
  <si>
    <t xml:space="preserve">Checklist completion:</t>
  </si>
  <si>
    <t xml:space="preserve">Ref</t>
  </si>
  <si>
    <t xml:space="preserve">Phase</t>
  </si>
  <si>
    <t xml:space="preserve">Requirement</t>
  </si>
  <si>
    <t xml:space="preserve">Evidence / deliverable</t>
  </si>
  <si>
    <t xml:space="preserve">Responsible</t>
  </si>
  <si>
    <t xml:space="preserve">Reviewer</t>
  </si>
  <si>
    <t xml:space="preserve">Date completed</t>
  </si>
  <si>
    <t xml:space="preserve">Findings / notes</t>
  </si>
  <si>
    <t xml:space="preserve">DD-01</t>
  </si>
  <si>
    <t xml:space="preserve">1. Identification &amp; business case</t>
  </si>
  <si>
    <t xml:space="preserve">Business justification, data-flow description and business owner documented</t>
  </si>
  <si>
    <t xml:space="preserve">Vendor intake form</t>
  </si>
  <si>
    <t xml:space="preserve">Business Owner</t>
  </si>
  <si>
    <t xml:space="preserve">Complete</t>
  </si>
  <si>
    <t xml:space="preserve">A. Khan</t>
  </si>
  <si>
    <t xml:space="preserve">DD-02</t>
  </si>
  <si>
    <t xml:space="preserve">Inherent risk triage completed (six factor scores and rating recorded in Vendor_Register)</t>
  </si>
  <si>
    <t xml:space="preserve">Vendor_Register entry</t>
  </si>
  <si>
    <t xml:space="preserve">GRC Analyst</t>
  </si>
  <si>
    <t xml:space="preserve">DD-03</t>
  </si>
  <si>
    <t xml:space="preserve">Legal entity, ownership and registration verified; sanctions and adverse-media screening completed</t>
  </si>
  <si>
    <t xml:space="preserve">Screening report</t>
  </si>
  <si>
    <t xml:space="preserve">Procurement / Legal</t>
  </si>
  <si>
    <t xml:space="preserve">R. Malik</t>
  </si>
  <si>
    <t xml:space="preserve">DD-04</t>
  </si>
  <si>
    <t xml:space="preserve">Financial stability reviewed (financial statements, credit report or funding status)</t>
  </si>
  <si>
    <t xml:space="preserve">Financial review note</t>
  </si>
  <si>
    <t xml:space="preserve">Procurement / Finance</t>
  </si>
  <si>
    <t xml:space="preserve">DD-05</t>
  </si>
  <si>
    <t xml:space="preserve">2. Security assurance</t>
  </si>
  <si>
    <t xml:space="preserve">Security questionnaire completed by vendor, scored and answers challenged where evidence is missing</t>
  </si>
  <si>
    <t xml:space="preserve">Questionnaire; Assessment_Results</t>
  </si>
  <si>
    <t xml:space="preserve">DD-06</t>
  </si>
  <si>
    <t xml:space="preserve">SOC 2 Type II or ISO/IEC 27001 certificate reviewed: scope, period, auditor opinion, exceptions and complementary user-entity controls</t>
  </si>
  <si>
    <t xml:space="preserve">Report review memo</t>
  </si>
  <si>
    <t xml:space="preserve">Security Analyst</t>
  </si>
  <si>
    <t xml:space="preserve">S. Ahmed</t>
  </si>
  <si>
    <t xml:space="preserve">SOC 2 Type I only; Type II audit period ends Dec 2026.</t>
  </si>
  <si>
    <t xml:space="preserve">DD-07</t>
  </si>
  <si>
    <t xml:space="preserve">Penetration test summary (within 12 months) reviewed; remediation status confirmed</t>
  </si>
  <si>
    <t xml:space="preserve">Pen test executive summary</t>
  </si>
  <si>
    <t xml:space="preserve">In Progress</t>
  </si>
  <si>
    <t xml:space="preserve">DD-08</t>
  </si>
  <si>
    <t xml:space="preserve">Architecture and data flows reviewed: encryption, key management, tenancy model, integrations</t>
  </si>
  <si>
    <t xml:space="preserve">Architecture review notes</t>
  </si>
  <si>
    <t xml:space="preserve">Security Architect</t>
  </si>
  <si>
    <t xml:space="preserve">DD-09</t>
  </si>
  <si>
    <t xml:space="preserve">Vulnerability management SLAs and secure development evidence reviewed</t>
  </si>
  <si>
    <t xml:space="preserve">Policies; metrics</t>
  </si>
  <si>
    <t xml:space="preserve">DD-10</t>
  </si>
  <si>
    <t xml:space="preserve">Core policies sampled (access control, incident response, business continuity)</t>
  </si>
  <si>
    <t xml:space="preserve">Policy documents</t>
  </si>
  <si>
    <t xml:space="preserve">DD-11</t>
  </si>
  <si>
    <t xml:space="preserve">External security posture checked (security rating or attack-surface scan; public breach history)</t>
  </si>
  <si>
    <t xml:space="preserve">Scan output; news review</t>
  </si>
  <si>
    <t xml:space="preserve">DD-12</t>
  </si>
  <si>
    <t xml:space="preserve">Gaps logged with remediation plans and owners; critical gaps resolved or formally risk-accepted</t>
  </si>
  <si>
    <t xml:space="preserve">Risk_Register entries</t>
  </si>
  <si>
    <t xml:space="preserve">Critical gap AIG-02 open; remediation owner: Privacy Officer.</t>
  </si>
  <si>
    <t xml:space="preserve">DD-13</t>
  </si>
  <si>
    <t xml:space="preserve">3. Privacy &amp; legal</t>
  </si>
  <si>
    <t xml:space="preserve">Data Processing Agreement executed (GDPR Art. 28, BAA or CCPA service-provider terms as applicable)</t>
  </si>
  <si>
    <t xml:space="preserve">Signed DPA</t>
  </si>
  <si>
    <t xml:space="preserve">Privacy Officer</t>
  </si>
  <si>
    <t xml:space="preserve">DD-14</t>
  </si>
  <si>
    <t xml:space="preserve">Subprocessor list, data residency and cross-border transfer mechanisms reviewed</t>
  </si>
  <si>
    <t xml:space="preserve">Subprocessor list; SCCs</t>
  </si>
  <si>
    <t xml:space="preserve">DD-15</t>
  </si>
  <si>
    <t xml:space="preserve">Privacy impact assessment (DPIA) completed where personal data is processed at scale or at high risk</t>
  </si>
  <si>
    <t xml:space="preserve">DPIA record</t>
  </si>
  <si>
    <t xml:space="preserve">DD-16</t>
  </si>
  <si>
    <t xml:space="preserve">Contract security schedule agreed: breach notification within 72 hours, audit rights, subcontractor flow-down, data return and deletion on exit</t>
  </si>
  <si>
    <t xml:space="preserve">Contract clauses</t>
  </si>
  <si>
    <t xml:space="preserve">Legal</t>
  </si>
  <si>
    <t xml:space="preserve">DD-17</t>
  </si>
  <si>
    <t xml:space="preserve">SLAs, limitation of liability and cyber insurance certificate reviewed</t>
  </si>
  <si>
    <t xml:space="preserve">Contract; insurance certificate</t>
  </si>
  <si>
    <t xml:space="preserve">Legal / Procurement</t>
  </si>
  <si>
    <t xml:space="preserve">Not Started</t>
  </si>
  <si>
    <t xml:space="preserve">DD-18</t>
  </si>
  <si>
    <t xml:space="preserve">4. Resilience &amp; exit</t>
  </si>
  <si>
    <t xml:space="preserve">BCP/DR summary and latest test results reviewed; RTO and RPO meet business requirements</t>
  </si>
  <si>
    <t xml:space="preserve">DR test report</t>
  </si>
  <si>
    <t xml:space="preserve">IT Operations</t>
  </si>
  <si>
    <t xml:space="preserve">DD-19</t>
  </si>
  <si>
    <t xml:space="preserve">Exit strategy and data portability plan documented (required for High and Critical vendors)</t>
  </si>
  <si>
    <t xml:space="preserve">Exit plan</t>
  </si>
  <si>
    <t xml:space="preserve">DD-20</t>
  </si>
  <si>
    <t xml:space="preserve">5. Cloud-specific</t>
  </si>
  <si>
    <t xml:space="preserve">Shared-responsibility matrix reviewed; customer-side controls (CUECs) mapped to internal owners</t>
  </si>
  <si>
    <t xml:space="preserve">Cloud</t>
  </si>
  <si>
    <t xml:space="preserve">Responsibility matrix</t>
  </si>
  <si>
    <t xml:space="preserve">Not applicable: SaaS API with no customer-managed infrastructure.</t>
  </si>
  <si>
    <t xml:space="preserve">DD-21</t>
  </si>
  <si>
    <t xml:space="preserve">Hosting regions and backup regions approved against data residency requirements</t>
  </si>
  <si>
    <t xml:space="preserve">Region configuration</t>
  </si>
  <si>
    <t xml:space="preserve">Not applicable (see DD-20).</t>
  </si>
  <si>
    <t xml:space="preserve">DD-22</t>
  </si>
  <si>
    <t xml:space="preserve">Customer-side configuration baseline defined (e.g., CIS Benchmarks) with posture monitoring before go-live</t>
  </si>
  <si>
    <t xml:space="preserve">Baseline; CSPM config</t>
  </si>
  <si>
    <t xml:space="preserve">Cloud Engineer</t>
  </si>
  <si>
    <t xml:space="preserve">DD-23</t>
  </si>
  <si>
    <t xml:space="preserve">6. AI-specific</t>
  </si>
  <si>
    <t xml:space="preserve">AI use case, intended purpose and data categories documented; AI impact assessment completed (ISO/IEC 42001 Annex A.5)</t>
  </si>
  <si>
    <t xml:space="preserve">AI impact assessment</t>
  </si>
  <si>
    <t xml:space="preserve">AI Governance Lead</t>
  </si>
  <si>
    <t xml:space="preserve">N. Raza</t>
  </si>
  <si>
    <t xml:space="preserve">DD-24</t>
  </si>
  <si>
    <t xml:space="preserve">Written confirmation that customer data, prompts and outputs are not used for model training; retention terms agreed (zero-retention option where available)</t>
  </si>
  <si>
    <t xml:space="preserve">Contract clause; vendor letter</t>
  </si>
  <si>
    <t xml:space="preserve">Exception</t>
  </si>
  <si>
    <t xml:space="preserve">F. Iqbal</t>
  </si>
  <si>
    <t xml:space="preserve">Vendor retains prompts for 30 days and reserves the right to use them for model improvement. Contract amendment requested (see VR-004).</t>
  </si>
  <si>
    <t xml:space="preserve">DD-25</t>
  </si>
  <si>
    <t xml:space="preserve">Model or system card reviewed (intended use, limitations, evaluation results, known risks)</t>
  </si>
  <si>
    <t xml:space="preserve">Model card</t>
  </si>
  <si>
    <t xml:space="preserve">Data Science Lead</t>
  </si>
  <si>
    <t xml:space="preserve">DD-26</t>
  </si>
  <si>
    <t xml:space="preserve">Vendor AI governance evidence reviewed (ISO/IEC 42001 certification or NIST AI RMF alignment; responsible AI policy)</t>
  </si>
  <si>
    <t xml:space="preserve">Certificate; policy</t>
  </si>
  <si>
    <t xml:space="preserve">DD-27</t>
  </si>
  <si>
    <t xml:space="preserve">Output risk controls defined: human review, content filtering, prompt and output logging, staff acceptable-use rules</t>
  </si>
  <si>
    <t xml:space="preserve">Control design</t>
  </si>
  <si>
    <t xml:space="preserve">DD-28</t>
  </si>
  <si>
    <t xml:space="preserve">AI security testing reviewed or planned (prompt injection, data leakage, jailbreak)</t>
  </si>
  <si>
    <t xml:space="preserve">Test results</t>
  </si>
  <si>
    <t xml:space="preserve">DD-29</t>
  </si>
  <si>
    <t xml:space="preserve">Regulatory mapping completed (EU AI Act risk classification, sector rules)</t>
  </si>
  <si>
    <t xml:space="preserve">Regulatory mapping</t>
  </si>
  <si>
    <t xml:space="preserve">Legal / Compliance</t>
  </si>
  <si>
    <t xml:space="preserve">DD-30</t>
  </si>
  <si>
    <t xml:space="preserve">7. Decision &amp; onboarding</t>
  </si>
  <si>
    <t xml:space="preserve">Residual risk calculated and recommendation recorded in Vendor_Register</t>
  </si>
  <si>
    <t xml:space="preserve">Vendor_Register</t>
  </si>
  <si>
    <t xml:space="preserve">DD-31</t>
  </si>
  <si>
    <t xml:space="preserve">Approval obtained from the authority required for the residual rating (see Approval_Workflow)</t>
  </si>
  <si>
    <t xml:space="preserve">Signed approval record</t>
  </si>
  <si>
    <t xml:space="preserve">Approver</t>
  </si>
  <si>
    <t xml:space="preserve">DD-32</t>
  </si>
  <si>
    <t xml:space="preserve">Vendor onboarded: SSO and MFA configured, least-privilege roles assigned, logging integrated</t>
  </si>
  <si>
    <t xml:space="preserve">Go-live checklist</t>
  </si>
  <si>
    <t xml:space="preserve">IT / Business Owner</t>
  </si>
  <si>
    <t xml:space="preserve">DD-33</t>
  </si>
  <si>
    <t xml:space="preserve">Monitoring schedule set and next review date recorded</t>
  </si>
  <si>
    <t xml:space="preserve">Monitoring sheet</t>
  </si>
  <si>
    <t xml:space="preserve">DD-34</t>
  </si>
  <si>
    <t xml:space="preserve">Contract and evidence pack archived in the vendor file</t>
  </si>
  <si>
    <t xml:space="preserve">Evidence repository</t>
  </si>
  <si>
    <t xml:space="preserve">Sample statuses shown for the fictional vendor V-002 (AI platform). Duplicate this sheet or reset statuses to 'Not Started' for each new vendor review; keep a signed copy in the vendor file.</t>
  </si>
  <si>
    <t xml:space="preserve">Vendor Risk Register</t>
  </si>
  <si>
    <t xml:space="preserve">Individual third-party risks scored on a 5×5 likelihood × impact scale (see Methodology §6). Sample entries are fictional.</t>
  </si>
  <si>
    <t xml:space="preserve">Risk ID</t>
  </si>
  <si>
    <t xml:space="preserve">Risk category</t>
  </si>
  <si>
    <t xml:space="preserve">Risk description</t>
  </si>
  <si>
    <t xml:space="preserve">Inherent likelihood</t>
  </si>
  <si>
    <t xml:space="preserve">Inherent impact</t>
  </si>
  <si>
    <t xml:space="preserve">Inherent score</t>
  </si>
  <si>
    <t xml:space="preserve">Existing controls</t>
  </si>
  <si>
    <t xml:space="preserve">Residual likelihood</t>
  </si>
  <si>
    <t xml:space="preserve">Residual impact</t>
  </si>
  <si>
    <t xml:space="preserve">Treatment action</t>
  </si>
  <si>
    <t xml:space="preserve">Risk owner</t>
  </si>
  <si>
    <t xml:space="preserve">Target date</t>
  </si>
  <si>
    <t xml:space="preserve">VR-001</t>
  </si>
  <si>
    <t xml:space="preserve">Availability / resilience</t>
  </si>
  <si>
    <t xml:space="preserve">Regional outage of the cloud provider causes extended downtime of production services.</t>
  </si>
  <si>
    <t xml:space="preserve">Multi-AZ deployment; 99.95% SLA with service credits.</t>
  </si>
  <si>
    <t xml:space="preserve">Mitigate</t>
  </si>
  <si>
    <t xml:space="preserve">Implement multi-region DR and perform an annual failover test.</t>
  </si>
  <si>
    <t xml:space="preserve">VR-002</t>
  </si>
  <si>
    <t xml:space="preserve">Concentration / lock-in</t>
  </si>
  <si>
    <t xml:space="preserve">Dependence on a single cloud provider limits ability to exit or negotiate.</t>
  </si>
  <si>
    <t xml:space="preserve">Infrastructure-as-code; data export supported.</t>
  </si>
  <si>
    <t xml:space="preserve">Document an exit plan and test data portability annually.</t>
  </si>
  <si>
    <t xml:space="preserve">Open</t>
  </si>
  <si>
    <t xml:space="preserve">VR-003</t>
  </si>
  <si>
    <t xml:space="preserve">Information security / data breach</t>
  </si>
  <si>
    <t xml:space="preserve">Customer-side misconfiguration under the shared-responsibility model exposes stored data.</t>
  </si>
  <si>
    <t xml:space="preserve">Guardrail policies; peer-reviewed infrastructure changes.</t>
  </si>
  <si>
    <t xml:space="preserve">Deploy CSPM with automated alerting on public exposure.</t>
  </si>
  <si>
    <t xml:space="preserve">Cloud Security Lead</t>
  </si>
  <si>
    <t xml:space="preserve">VR-004</t>
  </si>
  <si>
    <t xml:space="preserve">AI model &amp; governance</t>
  </si>
  <si>
    <t xml:space="preserve">Customer prompts and data are retained and may be used to train vendor models.</t>
  </si>
  <si>
    <t xml:space="preserve">None contractual; internal policy prohibits sensitive data in prompts.</t>
  </si>
  <si>
    <t xml:space="preserve">Negotiate zero-retention and no-training clauses in the DPA; block go-live until signed.</t>
  </si>
  <si>
    <t xml:space="preserve">VR-005</t>
  </si>
  <si>
    <t xml:space="preserve">Inaccurate or fabricated outputs mislead customers or influence business decisions.</t>
  </si>
  <si>
    <t xml:space="preserve">Human review of high-impact responses.</t>
  </si>
  <si>
    <t xml:space="preserve">Add output confidence thresholds, response logging and a monthly quality review.</t>
  </si>
  <si>
    <t xml:space="preserve">VR-006</t>
  </si>
  <si>
    <t xml:space="preserve">Prompt injection through integrations leads to data exfiltration.</t>
  </si>
  <si>
    <t xml:space="preserve">API keys scoped per environment.</t>
  </si>
  <si>
    <t xml:space="preserve">Run an internal red-team test and add input/output filtering.</t>
  </si>
  <si>
    <t xml:space="preserve">VR-007</t>
  </si>
  <si>
    <t xml:space="preserve">Weak privileged access control and log retention at the vendor delay breach detection.</t>
  </si>
  <si>
    <t xml:space="preserve">SSO and MFA enforced for our users.</t>
  </si>
  <si>
    <t xml:space="preserve">Require PAM and 12-month log retention as a contract remediation item.</t>
  </si>
  <si>
    <t xml:space="preserve">VR-008</t>
  </si>
  <si>
    <t xml:space="preserve">No tested disaster recovery; extended outage disrupts the sales pipeline.</t>
  </si>
  <si>
    <t xml:space="preserve">Vendor SLA of 99.9%; weekly CRM export to our storage.</t>
  </si>
  <si>
    <t xml:space="preserve">Require annual DR test evidence at renewal.</t>
  </si>
  <si>
    <t xml:space="preserve">VR-009</t>
  </si>
  <si>
    <t xml:space="preserve">Model drift or bias degrades churn predictions used in business planning.</t>
  </si>
  <si>
    <t xml:space="preserve">Quarterly manual comparison against actuals.</t>
  </si>
  <si>
    <t xml:space="preserve">Obtain model performance reports and set drift thresholds.</t>
  </si>
  <si>
    <t xml:space="preserve">VR-010</t>
  </si>
  <si>
    <t xml:space="preserve">Regulatory &amp; compliance</t>
  </si>
  <si>
    <t xml:space="preserve">Vendor does not meet emerging AI regulation obligations (e.g., EU AI Act transparency duties).</t>
  </si>
  <si>
    <t xml:space="preserve">Contract requires legal compliance.</t>
  </si>
  <si>
    <t xml:space="preserve">Complete AI regulatory mapping and request vendor roadmap.</t>
  </si>
  <si>
    <t xml:space="preserve">VR-011</t>
  </si>
  <si>
    <t xml:space="preserve">Privacy &amp; data protection</t>
  </si>
  <si>
    <t xml:space="preserve">Backup copies are stored outside approved regions.</t>
  </si>
  <si>
    <t xml:space="preserve">Region configuration locked to approved zones.</t>
  </si>
  <si>
    <t xml:space="preserve">Accept</t>
  </si>
  <si>
    <t xml:space="preserve">Accept with annual verification of backup region settings.</t>
  </si>
  <si>
    <t xml:space="preserve">Accepted</t>
  </si>
  <si>
    <t xml:space="preserve">VR-012</t>
  </si>
  <si>
    <t xml:space="preserve">Contractual &amp; commercial</t>
  </si>
  <si>
    <t xml:space="preserve">Contract lacks a defined breach notification timeline.</t>
  </si>
  <si>
    <t xml:space="preserve">Survey data contains limited personal data.</t>
  </si>
  <si>
    <t xml:space="preserve">Request breach notification clause at the December 2026 renewal.</t>
  </si>
  <si>
    <t xml:space="preserve">Security Review &amp; Approval Workflow</t>
  </si>
  <si>
    <t xml:space="preserve">Ten-stage lifecycle from request to offboarding. SLAs are in business days and exclude time waiting on the vendor.</t>
  </si>
  <si>
    <t xml:space="preserve">Step</t>
  </si>
  <si>
    <t xml:space="preserve">Stage</t>
  </si>
  <si>
    <t xml:space="preserve">Key activities</t>
  </si>
  <si>
    <t xml:space="preserve">Owner</t>
  </si>
  <si>
    <t xml:space="preserve">Inputs</t>
  </si>
  <si>
    <t xml:space="preserve">Outputs / evidence</t>
  </si>
  <si>
    <t xml:space="preserve">SLA (business days)</t>
  </si>
  <si>
    <t xml:space="preserve">Decision gate</t>
  </si>
  <si>
    <t xml:space="preserve">Request &amp; business case</t>
  </si>
  <si>
    <t xml:space="preserve">Business owner submits the vendor intake form (service, data types, users, alternatives considered). GRC checks for an existing vendor or duplicate and logs a Vendor ID.</t>
  </si>
  <si>
    <t xml:space="preserve">Business Owner / GRC Analyst</t>
  </si>
  <si>
    <t xml:space="preserve">Intake request</t>
  </si>
  <si>
    <t xml:space="preserve">Intake complete; no duplicate vendor</t>
  </si>
  <si>
    <t xml:space="preserve">Inherent risk triage</t>
  </si>
  <si>
    <t xml:space="preserve">Score the six inherent risk factors, derive the inherent rating and set the assessment depth (Low: streamlined; Medium and above: full).</t>
  </si>
  <si>
    <t xml:space="preserve">Intake form; data-flow description</t>
  </si>
  <si>
    <t xml:space="preserve">Inherent score and rating; assessment scope</t>
  </si>
  <si>
    <t xml:space="preserve">Tier assigned and recorded</t>
  </si>
  <si>
    <t xml:space="preserve">Due diligence &amp; questionnaire</t>
  </si>
  <si>
    <t xml:space="preserve">Issue the questionnaire; collect SOC 2 or ISO certificates, penetration test summary, policies and subprocessor list; work through the Due_Diligence checklist.</t>
  </si>
  <si>
    <t xml:space="preserve">GRC Analyst / Procurement</t>
  </si>
  <si>
    <t xml:space="preserve">Questionnaire; evidence request list</t>
  </si>
  <si>
    <t xml:space="preserve">Completed questionnaire; evidence pack</t>
  </si>
  <si>
    <t xml:space="preserve">Evidence received and complete</t>
  </si>
  <si>
    <t xml:space="preserve">Security review</t>
  </si>
  <si>
    <t xml:space="preserve">Validate answers against evidence, review architecture and integrations, score control effectiveness and log gaps with severity.</t>
  </si>
  <si>
    <t xml:space="preserve">Security Analyst / Architect</t>
  </si>
  <si>
    <t xml:space="preserve">Questionnaire; certificates; architecture</t>
  </si>
  <si>
    <t xml:space="preserve">Assessment_Results; findings list</t>
  </si>
  <si>
    <t xml:space="preserve">Critical gaps identified and logged</t>
  </si>
  <si>
    <t xml:space="preserve">Privacy &amp; legal review</t>
  </si>
  <si>
    <t xml:space="preserve">Review DPA, data residency, cross-border transfers, subprocessors, security schedule, liability and insurance.</t>
  </si>
  <si>
    <t xml:space="preserve">Privacy Officer / Legal</t>
  </si>
  <si>
    <t xml:space="preserve">Draft contract; DPA; subprocessor list</t>
  </si>
  <si>
    <t xml:space="preserve">Contract mark-up; DPIA where required</t>
  </si>
  <si>
    <t xml:space="preserve">DPA executed or exception approved</t>
  </si>
  <si>
    <t xml:space="preserve">AI governance review (AI vendors)</t>
  </si>
  <si>
    <t xml:space="preserve">Review AI impact assessment, data-use restrictions, model documentation, AI security testing and regulatory classification (ISO/IEC 42001, NIST AI RMF, EU AI Act).</t>
  </si>
  <si>
    <t xml:space="preserve">AI Governance Lead / Data Science</t>
  </si>
  <si>
    <t xml:space="preserve">Model card; AI impact assessment</t>
  </si>
  <si>
    <t xml:space="preserve">AI governance sign-off</t>
  </si>
  <si>
    <t xml:space="preserve">AI use case approved by AI governance forum</t>
  </si>
  <si>
    <t xml:space="preserve">Residual risk &amp; recommendation</t>
  </si>
  <si>
    <t xml:space="preserve">Calculate residual risk, register risks in Risk_Register with treatment plans and issue a recommendation.</t>
  </si>
  <si>
    <t xml:space="preserve">Findings; control effectiveness</t>
  </si>
  <si>
    <t xml:space="preserve">Residual rating; risk entries; recommendation</t>
  </si>
  <si>
    <t xml:space="preserve">Recommendation issued</t>
  </si>
  <si>
    <t xml:space="preserve">Approval decision</t>
  </si>
  <si>
    <t xml:space="preserve">Approver selected from the authority matrix below decides: approve, conditionally approve (with dated remediation plan) or reject.</t>
  </si>
  <si>
    <t xml:space="preserve">Approver (see matrix)</t>
  </si>
  <si>
    <t xml:space="preserve">Recommendation pack</t>
  </si>
  <si>
    <t xml:space="preserve">Signed decision record</t>
  </si>
  <si>
    <t xml:space="preserve">Decision recorded</t>
  </si>
  <si>
    <t xml:space="preserve">Contracting &amp; onboarding</t>
  </si>
  <si>
    <t xml:space="preserve">Execute contract with the security schedule; configure SSO and MFA, least-privilege roles and log forwarding; set the monitoring schedule.</t>
  </si>
  <si>
    <t xml:space="preserve">Procurement / IT / Business Owner</t>
  </si>
  <si>
    <t xml:space="preserve">Approved decision; final contract</t>
  </si>
  <si>
    <t xml:space="preserve">Go-live checklist; monitoring schedule entry</t>
  </si>
  <si>
    <t xml:space="preserve">Go-live checklist signed</t>
  </si>
  <si>
    <t xml:space="preserve">Monitoring &amp; offboarding</t>
  </si>
  <si>
    <t xml:space="preserve">Monitor per the Monitoring sheet; reassess on schedule or on trigger events. At exit, revoke access and obtain a data return or deletion certificate.</t>
  </si>
  <si>
    <t xml:space="preserve">GRC Analyst / Business Owner</t>
  </si>
  <si>
    <t xml:space="preserve">Monitoring schedule; trigger events</t>
  </si>
  <si>
    <t xml:space="preserve">Review records; offboarding certificate</t>
  </si>
  <si>
    <t xml:space="preserve">Per schedule</t>
  </si>
  <si>
    <t xml:space="preserve">Periodic review complete; exit verified</t>
  </si>
  <si>
    <t xml:space="preserve">Approval authority matrix (by residual risk rating)</t>
  </si>
  <si>
    <t xml:space="preserve">Conditions</t>
  </si>
  <si>
    <t xml:space="preserve">Maximum approval validity</t>
  </si>
  <si>
    <t xml:space="preserve">Business Owner + GRC Analyst</t>
  </si>
  <si>
    <t xml:space="preserve">Standard terms; no open critical gaps.</t>
  </si>
  <si>
    <t xml:space="preserve">Until next scheduled review</t>
  </si>
  <si>
    <t xml:space="preserve">Business Owner + Information Security Manager</t>
  </si>
  <si>
    <t xml:space="preserve">Open findings tracked in Risk_Register with owners and dates.</t>
  </si>
  <si>
    <t xml:space="preserve">Information Security Manager + Privacy/Legal + Head of Business Unit</t>
  </si>
  <si>
    <t xml:space="preserve">Conditional approval; remediation plan with dated milestones; exit plan on file.</t>
  </si>
  <si>
    <t xml:space="preserve">12 months or until milestones missed</t>
  </si>
  <si>
    <t xml:space="preserve">CISO + Risk Committee (executive risk acceptance)</t>
  </si>
  <si>
    <t xml:space="preserve">Formal risk acceptance memo; enhanced monitoring; tested exit plan.</t>
  </si>
  <si>
    <t xml:space="preserve">12 months; quarterly reporting to committee</t>
  </si>
  <si>
    <t xml:space="preserve">Exception &amp; escalation rules</t>
  </si>
  <si>
    <t xml:space="preserve">1. Any critical control gap (a 'No' on a Critical control) must be remediated or formally risk-accepted by the approver for the Critical tier before go-live.</t>
  </si>
  <si>
    <t xml:space="preserve">2. AI vendors require AI governance review (step 6) in addition to the standard approver, regardless of residual rating.</t>
  </si>
  <si>
    <t xml:space="preserve">3. Risk acceptances are time-bound (maximum 12 months), recorded in Risk_Register with status 'Accepted' and re-approved at expiry.</t>
  </si>
  <si>
    <t xml:space="preserve">4. Business units may not sign contracts or share data with a vendor before step 8 is complete; emergency requests need CISO written approval.</t>
  </si>
  <si>
    <t xml:space="preserve">5. Rejected vendors are recorded with the rationale and may only be resubmitted when the blocking issue is resolved.</t>
  </si>
  <si>
    <t xml:space="preserve">Ongoing Monitoring Schedule</t>
  </si>
  <si>
    <t xml:space="preserve">Cadence is driven by the inherent rating. Section B calculates each vendor's next review dates; section C lists event-driven triggers.</t>
  </si>
  <si>
    <t xml:space="preserve">A. Monitoring cadence by tier</t>
  </si>
  <si>
    <t xml:space="preserve">Activity</t>
  </si>
  <si>
    <t xml:space="preserve">Method</t>
  </si>
  <si>
    <t xml:space="preserve">Full risk reassessment (months)</t>
  </si>
  <si>
    <t xml:space="preserve">Refreshed questionnaire, evidence review, rescoring</t>
  </si>
  <si>
    <t xml:space="preserve">Interim check-in (months; 0 = at renewal)</t>
  </si>
  <si>
    <t xml:space="preserve">Attestation of no material change; open findings review</t>
  </si>
  <si>
    <t xml:space="preserve">Security posture and breach monitoring</t>
  </si>
  <si>
    <t xml:space="preserve">Continuous alerts</t>
  </si>
  <si>
    <t xml:space="preserve">Monthly</t>
  </si>
  <si>
    <t xml:space="preserve">Quarterly</t>
  </si>
  <si>
    <t xml:space="preserve">Annually</t>
  </si>
  <si>
    <t xml:space="preserve">Security ratings, attack-surface scan, breach and adverse-media alerts</t>
  </si>
  <si>
    <t xml:space="preserve">Certification / attestation validity</t>
  </si>
  <si>
    <t xml:space="preserve">Each report cycle</t>
  </si>
  <si>
    <t xml:space="preserve">At renewal</t>
  </si>
  <si>
    <t xml:space="preserve">SOC 2 / ISO certificate expiry and bridge-letter review</t>
  </si>
  <si>
    <t xml:space="preserve">Remediation tracking of open findings</t>
  </si>
  <si>
    <t xml:space="preserve">At review</t>
  </si>
  <si>
    <t xml:space="preserve">Risk_Register status review</t>
  </si>
  <si>
    <t xml:space="preserve">SLA and service performance review</t>
  </si>
  <si>
    <t xml:space="preserve">Semi-annually</t>
  </si>
  <si>
    <t xml:space="preserve">SLA reports, incident log, service review meeting</t>
  </si>
  <si>
    <t xml:space="preserve">Access review of vendor accounts in our environment</t>
  </si>
  <si>
    <t xml:space="preserve">Access recertification</t>
  </si>
  <si>
    <t xml:space="preserve">Subprocessor and ownership change review</t>
  </si>
  <si>
    <t xml:space="preserve">On notice</t>
  </si>
  <si>
    <t xml:space="preserve">Vendor notification; contract clause</t>
  </si>
  <si>
    <t xml:space="preserve">AI model / version change review (AI vendors)</t>
  </si>
  <si>
    <t xml:space="preserve">Each major release</t>
  </si>
  <si>
    <t xml:space="preserve">Release notes, model card update, re-test of key controls</t>
  </si>
  <si>
    <t xml:space="preserve">Contract renewal review</t>
  </si>
  <si>
    <t xml:space="preserve">180 days before</t>
  </si>
  <si>
    <t xml:space="preserve">120 days before</t>
  </si>
  <si>
    <t xml:space="preserve">90 days before</t>
  </si>
  <si>
    <t xml:space="preserve">Procurement</t>
  </si>
  <si>
    <t xml:space="preserve">Performance, risk and exit-option review</t>
  </si>
  <si>
    <t xml:space="preserve">B. Vendor monitoring calendar (calculated)</t>
  </si>
  <si>
    <t xml:space="preserve">Next full reassessment</t>
  </si>
  <si>
    <t xml:space="preserve">Interim interval (months)</t>
  </si>
  <si>
    <t xml:space="preserve">Next interim check</t>
  </si>
  <si>
    <t xml:space="preserve">Attestation expiry (input)</t>
  </si>
  <si>
    <t xml:space="preserve">Attestation status</t>
  </si>
  <si>
    <t xml:space="preserve">Renewal review date</t>
  </si>
  <si>
    <t xml:space="preserve">Overall status</t>
  </si>
  <si>
    <t xml:space="preserve">C. Event-driven reassessment triggers (reassess regardless of schedule)</t>
  </si>
  <si>
    <t xml:space="preserve">1. Security incident or data breach at the vendor or one of its subprocessors.</t>
  </si>
  <si>
    <t xml:space="preserve">2. Material change in service scope, hosting location, ownership or subprocessors.</t>
  </si>
  <si>
    <t xml:space="preserve">3. Lapse, qualification or adverse opinion in a SOC 2 or ISO certification.</t>
  </si>
  <si>
    <t xml:space="preserve">4. Significant change to data types shared with the vendor or to the vendor's access to our systems.</t>
  </si>
  <si>
    <t xml:space="preserve">5. Major AI model change, new AI feature, or change to the vendor's data-use or retention terms.</t>
  </si>
  <si>
    <t xml:space="preserve">6. New or changed regulation affecting the service (e.g., EU AI Act obligations coming into force).</t>
  </si>
  <si>
    <t xml:space="preserve">7. Repeated SLA breaches, financial distress, or negative adverse-media findings.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</si>
</sst>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0.0"/>
    <numFmt numFmtId="167" formatCode="0%"/>
    <numFmt numFmtId="168" formatCode="General"/>
    <numFmt numFmtId="169" formatCode="dd\-mmm\-yyyy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0"/>
      <color rgb="FF0000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0"/>
      <color rgb="FFC0000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F5597"/>
        <bgColor rgb="FF1F3864"/>
      </patternFill>
    </fill>
    <fill>
      <patternFill patternType="solid">
        <fgColor rgb="FFFFE699"/>
        <bgColor rgb="FFFFF9E0"/>
      </patternFill>
    </fill>
    <fill>
      <patternFill patternType="solid">
        <fgColor rgb="FFF4B183"/>
        <bgColor rgb="FFFF99CC"/>
      </patternFill>
    </fill>
    <fill>
      <patternFill patternType="solid">
        <fgColor rgb="FFC00000"/>
        <bgColor rgb="FF800000"/>
      </patternFill>
    </fill>
    <fill>
      <patternFill patternType="solid">
        <fgColor rgb="FFC6E0B4"/>
        <bgColor rgb="FFD9D9D9"/>
      </patternFill>
    </fill>
    <fill>
      <patternFill patternType="solid">
        <fgColor rgb="FFFFF9E0"/>
        <bgColor rgb="FFF9F9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9" fontId="14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9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14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14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14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ont>
        <name val="Arial"/>
        <charset val="1"/>
        <family val="0"/>
        <b val="1"/>
        <color rgb="FFFFFFFF"/>
      </font>
      <fill>
        <patternFill>
          <bgColor rgb="FFC00000"/>
        </patternFill>
      </fill>
    </dxf>
    <dxf>
      <font>
        <name val="Arial"/>
        <charset val="1"/>
        <family val="0"/>
        <b val="1"/>
        <color rgb="FF000000"/>
      </font>
      <fill>
        <patternFill>
          <bgColor rgb="FFF4B183"/>
        </patternFill>
      </fill>
    </dxf>
    <dxf>
      <font>
        <name val="Arial"/>
        <charset val="1"/>
        <family val="0"/>
        <b val="1"/>
        <color rgb="FF000000"/>
      </font>
      <fill>
        <patternFill>
          <bgColor rgb="FFFFE699"/>
        </patternFill>
      </fill>
    </dxf>
    <dxf>
      <font>
        <name val="Arial"/>
        <charset val="1"/>
        <family val="0"/>
        <b val="1"/>
        <color rgb="FF000000"/>
      </font>
      <fill>
        <patternFill>
          <bgColor rgb="FFC6E0B4"/>
        </patternFill>
      </fill>
    </dxf>
    <dxf>
      <font>
        <name val="Arial"/>
        <charset val="1"/>
        <family val="0"/>
        <color rgb="FFFFFFFF"/>
      </font>
      <fill>
        <patternFill>
          <bgColor rgb="FFC00000"/>
        </patternFill>
      </fill>
    </dxf>
    <dxf>
      <font>
        <name val="Arial"/>
        <charset val="1"/>
        <family val="0"/>
        <color rgb="FF000000"/>
      </font>
      <fill>
        <patternFill>
          <bgColor rgb="FFFFE699"/>
        </patternFill>
      </fill>
    </dxf>
    <dxf>
      <font>
        <name val="Arial"/>
        <charset val="1"/>
        <family val="0"/>
        <color rgb="FF000000"/>
      </font>
      <fill>
        <patternFill>
          <bgColor rgb="FFC6E0B4"/>
        </patternFill>
      </fill>
    </dxf>
    <dxf>
      <font>
        <name val="Arial"/>
        <charset val="1"/>
        <family val="0"/>
        <color rgb="FF000000"/>
      </font>
      <fill>
        <patternFill>
          <bgColor rgb="FFF4B183"/>
        </patternFill>
      </fill>
    </dxf>
    <dxf>
      <font>
        <name val="Arial"/>
        <charset val="1"/>
        <family val="0"/>
        <color rgb="FF595959"/>
      </font>
      <fill>
        <patternFill>
          <bgColor rgb="FFD9D9D9"/>
        </patternFill>
      </fill>
    </dxf>
    <dxf>
      <fill>
        <patternFill>
          <bgColor rgb="FFF4B183"/>
        </patternFill>
      </fill>
    </dxf>
    <dxf>
      <fill>
        <patternFill>
          <bgColor rgb="FFC6E0B4"/>
        </patternFill>
      </fill>
    </dxf>
    <dxf>
      <font>
        <name val="Arial"/>
        <charset val="1"/>
        <family val="0"/>
        <color rgb="FF000000"/>
      </font>
      <fill>
        <patternFill>
          <bgColor rgb="FFFFFFFF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8FAADC"/>
      <rgbColor rgb="FFC0504D"/>
      <rgbColor rgb="FFFFF9E0"/>
      <rgbColor rgb="FFF9F9F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4B183"/>
      <rgbColor rgb="FF4F81BD"/>
      <rgbColor rgb="FF33CCCC"/>
      <rgbColor rgb="FF99CC00"/>
      <rgbColor rgb="FFFFCC00"/>
      <rgbColor rgb="FFBF8F00"/>
      <rgbColor rgb="FFFF6600"/>
      <rgbColor rgb="FF595959"/>
      <rgbColor rgb="FF878787"/>
      <rgbColor rgb="FF1F3864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Vendors by risk rating: inherent vs residual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Dashboard!B13</c:f>
              <c:strCache>
                <c:ptCount val="1"/>
                <c:pt idx="0">
                  <c:v>Inherent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Dashboard!$A$14:$A$17</c:f>
              <c:strCache>
                <c:ptCount val="4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  <c:pt idx="3">
                  <c:v>Critical</c:v>
                </c:pt>
              </c:strCache>
            </c:strRef>
          </c:cat>
          <c:val>
            <c:numRef>
              <c:f>Dashboard!$B$14:$B$17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1</c:v>
                </c:pt>
              </c:numCache>
            </c:numRef>
          </c:val>
        </c:ser>
        <c:ser>
          <c:idx val="1"/>
          <c:order val="1"/>
          <c:tx>
            <c:strRef>
              <c:f>Dashboard!C13</c:f>
              <c:strCache>
                <c:ptCount val="1"/>
                <c:pt idx="0">
                  <c:v>Residual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Dashboard!$A$14:$A$17</c:f>
              <c:strCache>
                <c:ptCount val="4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  <c:pt idx="3">
                  <c:v>Critical</c:v>
                </c:pt>
              </c:strCache>
            </c:strRef>
          </c:cat>
          <c:val>
            <c:numRef>
              <c:f>Dashboard!$C$14:$C$17</c:f>
              <c:numCache>
                <c:formatCode>General</c:formatCode>
                <c:ptCount val="4"/>
                <c:pt idx="0">
                  <c:v>3</c:v>
                </c:pt>
                <c:pt idx="1">
                  <c:v>2</c:v>
                </c:pt>
                <c:pt idx="2">
                  <c:v>1</c:v>
                </c:pt>
                <c:pt idx="3">
                  <c:v>0</c:v>
                </c:pt>
              </c:numCache>
            </c:numRef>
          </c:val>
        </c:ser>
        <c:gapWidth val="150"/>
        <c:overlap val="0"/>
        <c:axId val="59278907"/>
        <c:axId val="81423396"/>
      </c:barChart>
      <c:catAx>
        <c:axId val="5927890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Rating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423396"/>
        <c:crosses val="autoZero"/>
        <c:auto val="1"/>
        <c:lblAlgn val="ctr"/>
        <c:lblOffset val="100"/>
        <c:noMultiLvlLbl val="0"/>
      </c:catAx>
      <c:valAx>
        <c:axId val="81423396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Number of vendors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27890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</xdr:row>
      <xdr:rowOff>130680</xdr:rowOff>
    </xdr:from>
    <xdr:to>
      <xdr:col>10</xdr:col>
      <xdr:colOff>229320</xdr:colOff>
      <xdr:row>17</xdr:row>
      <xdr:rowOff>56520</xdr:rowOff>
    </xdr:to>
    <xdr:graphicFrame>
      <xdr:nvGraphicFramePr>
        <xdr:cNvPr id="0" name="Chart 1"/>
        <xdr:cNvGraphicFramePr/>
      </xdr:nvGraphicFramePr>
      <xdr:xfrm>
        <a:off x="6061680" y="38088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true"/>
  </sheetPr>
  <dimension ref="A1:B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3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42" hidden="false" customHeight="true" outlineLevel="0" collapsed="false">
      <c r="A4" s="3" t="s">
        <v>2</v>
      </c>
      <c r="B4" s="4" t="s">
        <v>3</v>
      </c>
    </row>
    <row r="5" customFormat="false" ht="153.75" hidden="false" customHeight="true" outlineLevel="0" collapsed="false">
      <c r="A5" s="3" t="s">
        <v>4</v>
      </c>
      <c r="B5" s="4" t="s">
        <v>5</v>
      </c>
    </row>
    <row r="6" customFormat="false" ht="30" hidden="false" customHeight="true" outlineLevel="0" collapsed="false">
      <c r="A6" s="3" t="s">
        <v>6</v>
      </c>
      <c r="B6" s="4" t="s">
        <v>7</v>
      </c>
    </row>
    <row r="7" customFormat="false" ht="181.5" hidden="false" customHeight="true" outlineLevel="0" collapsed="false">
      <c r="A7" s="3" t="s">
        <v>8</v>
      </c>
      <c r="B7" s="4" t="s">
        <v>9</v>
      </c>
    </row>
    <row r="8" customFormat="false" ht="42" hidden="false" customHeight="true" outlineLevel="0" collapsed="false">
      <c r="A8" s="3" t="s">
        <v>10</v>
      </c>
      <c r="B8" s="4" t="s">
        <v>11</v>
      </c>
    </row>
    <row r="9" customFormat="false" ht="42" hidden="false" customHeight="true" outlineLevel="0" collapsed="false">
      <c r="A9" s="3" t="s">
        <v>12</v>
      </c>
      <c r="B9" s="4" t="s">
        <v>13</v>
      </c>
    </row>
    <row r="10" customFormat="false" ht="30" hidden="false" customHeight="true" outlineLevel="0" collapsed="false">
      <c r="A10" s="3" t="s">
        <v>14</v>
      </c>
      <c r="B10" s="4" t="s">
        <v>15</v>
      </c>
    </row>
    <row r="11" customFormat="false" ht="30" hidden="false" customHeight="true" outlineLevel="0" collapsed="false">
      <c r="A11" s="3" t="s">
        <v>16</v>
      </c>
      <c r="B11" s="4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A1:H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8" min="4" style="0" width="14"/>
  </cols>
  <sheetData>
    <row r="1" customFormat="false" ht="19.7" hidden="false" customHeight="false" outlineLevel="0" collapsed="false">
      <c r="A1" s="1" t="s">
        <v>18</v>
      </c>
    </row>
    <row r="2" customFormat="false" ht="15" hidden="false" customHeight="false" outlineLevel="0" collapsed="false">
      <c r="A2" s="2" t="s">
        <v>19</v>
      </c>
    </row>
    <row r="3" customFormat="false" ht="15" hidden="false" customHeight="false" outlineLevel="0" collapsed="false">
      <c r="A3" s="5" t="s">
        <v>20</v>
      </c>
      <c r="B3" s="6"/>
      <c r="C3" s="6"/>
      <c r="D3" s="6"/>
      <c r="E3" s="6"/>
    </row>
    <row r="4" customFormat="false" ht="15" hidden="false" customHeight="false" outlineLevel="0" collapsed="false">
      <c r="A4" s="4" t="s">
        <v>21</v>
      </c>
      <c r="B4" s="7" t="n">
        <f aca="false">SUMPRODUCT(--(Vendor_Register!A6:A15&lt;&gt;""))</f>
        <v>6</v>
      </c>
    </row>
    <row r="5" customFormat="false" ht="15" hidden="false" customHeight="false" outlineLevel="0" collapsed="false">
      <c r="A5" s="4" t="s">
        <v>22</v>
      </c>
      <c r="B5" s="8" t="n">
        <f aca="false">IFERROR(AVERAGE(Vendor_Register!L6:L15),"")</f>
        <v>63</v>
      </c>
    </row>
    <row r="6" customFormat="false" ht="15" hidden="false" customHeight="false" outlineLevel="0" collapsed="false">
      <c r="A6" s="4" t="s">
        <v>23</v>
      </c>
      <c r="B6" s="9" t="n">
        <f aca="false">IFERROR(AVERAGE(Vendor_Register!N6:N15),"")</f>
        <v>0.762507012507013</v>
      </c>
    </row>
    <row r="7" customFormat="false" ht="15" hidden="false" customHeight="false" outlineLevel="0" collapsed="false">
      <c r="A7" s="4" t="s">
        <v>24</v>
      </c>
      <c r="B7" s="7" t="n">
        <f aca="false">COUNTIF(Vendor_Register!O6:O15,"&gt;0")</f>
        <v>1</v>
      </c>
    </row>
    <row r="8" customFormat="false" ht="15" hidden="false" customHeight="false" outlineLevel="0" collapsed="false">
      <c r="A8" s="4" t="s">
        <v>25</v>
      </c>
      <c r="B8" s="7" t="n">
        <f aca="false">COUNTIF(Vendor_Register!X6:X15,"Overdue")</f>
        <v>1</v>
      </c>
    </row>
    <row r="9" customFormat="false" ht="15" hidden="false" customHeight="false" outlineLevel="0" collapsed="false">
      <c r="A9" s="4" t="s">
        <v>26</v>
      </c>
      <c r="B9" s="7" t="n">
        <f aca="false">COUNTIF(Risk_Register!S6:S35,"Open")+COUNTIF(Risk_Register!S6:S35,"In Progress")</f>
        <v>10</v>
      </c>
    </row>
    <row r="10" customFormat="false" ht="15" hidden="false" customHeight="false" outlineLevel="0" collapsed="false">
      <c r="A10" s="4" t="s">
        <v>27</v>
      </c>
      <c r="B10" s="7" t="n">
        <f aca="false">SUMPRODUCT(((Risk_Register!N6:N35="High")+(Risk_Register!N6:N35="Critical"))*((Risk_Register!S6:S35="Open")+(Risk_Register!S6:S35="In Progress")))</f>
        <v>1</v>
      </c>
    </row>
    <row r="12" customFormat="false" ht="15" hidden="false" customHeight="false" outlineLevel="0" collapsed="false">
      <c r="A12" s="5" t="s">
        <v>28</v>
      </c>
      <c r="B12" s="6"/>
      <c r="C12" s="6"/>
      <c r="D12" s="6"/>
      <c r="E12" s="6"/>
    </row>
    <row r="13" customFormat="false" ht="21.75" hidden="false" customHeight="true" outlineLevel="0" collapsed="false">
      <c r="A13" s="10" t="s">
        <v>29</v>
      </c>
      <c r="B13" s="10" t="s">
        <v>30</v>
      </c>
      <c r="C13" s="10" t="s">
        <v>31</v>
      </c>
    </row>
    <row r="14" customFormat="false" ht="15" hidden="false" customHeight="false" outlineLevel="0" collapsed="false">
      <c r="A14" s="11" t="s">
        <v>32</v>
      </c>
      <c r="B14" s="12" t="n">
        <f aca="false">COUNTIF(Vendor_Register!M6:M15,A14)</f>
        <v>1</v>
      </c>
      <c r="C14" s="12" t="n">
        <f aca="false">COUNTIF(Vendor_Register!Q6:Q15,A14)</f>
        <v>3</v>
      </c>
    </row>
    <row r="15" customFormat="false" ht="15" hidden="false" customHeight="false" outlineLevel="0" collapsed="false">
      <c r="A15" s="11" t="s">
        <v>33</v>
      </c>
      <c r="B15" s="12" t="n">
        <f aca="false">COUNTIF(Vendor_Register!M6:M15,A15)</f>
        <v>1</v>
      </c>
      <c r="C15" s="12" t="n">
        <f aca="false">COUNTIF(Vendor_Register!Q6:Q15,A15)</f>
        <v>2</v>
      </c>
    </row>
    <row r="16" customFormat="false" ht="15" hidden="false" customHeight="false" outlineLevel="0" collapsed="false">
      <c r="A16" s="11" t="s">
        <v>34</v>
      </c>
      <c r="B16" s="12" t="n">
        <f aca="false">COUNTIF(Vendor_Register!M6:M15,A16)</f>
        <v>3</v>
      </c>
      <c r="C16" s="12" t="n">
        <f aca="false">COUNTIF(Vendor_Register!Q6:Q15,A16)</f>
        <v>1</v>
      </c>
    </row>
    <row r="17" customFormat="false" ht="15" hidden="false" customHeight="false" outlineLevel="0" collapsed="false">
      <c r="A17" s="11" t="s">
        <v>35</v>
      </c>
      <c r="B17" s="12" t="n">
        <f aca="false">COUNTIF(Vendor_Register!M6:M15,A17)</f>
        <v>1</v>
      </c>
      <c r="C17" s="12" t="n">
        <f aca="false">COUNTIF(Vendor_Register!Q6:Q15,A17)</f>
        <v>0</v>
      </c>
    </row>
    <row r="19" customFormat="false" ht="15" hidden="false" customHeight="false" outlineLevel="0" collapsed="false">
      <c r="A19" s="5" t="s">
        <v>36</v>
      </c>
      <c r="B19" s="6"/>
      <c r="C19" s="6"/>
      <c r="D19" s="6"/>
      <c r="E19" s="6"/>
    </row>
    <row r="20" customFormat="false" ht="21.75" hidden="false" customHeight="true" outlineLevel="0" collapsed="false">
      <c r="A20" s="10" t="s">
        <v>37</v>
      </c>
      <c r="B20" s="10" t="s">
        <v>38</v>
      </c>
    </row>
    <row r="21" customFormat="false" ht="15" hidden="false" customHeight="false" outlineLevel="0" collapsed="false">
      <c r="A21" s="4" t="s">
        <v>39</v>
      </c>
      <c r="B21" s="12" t="n">
        <f aca="false">COUNTIF(Vendor_Register!T6:T15,A21)</f>
        <v>0</v>
      </c>
    </row>
    <row r="22" customFormat="false" ht="15" hidden="false" customHeight="false" outlineLevel="0" collapsed="false">
      <c r="A22" s="4" t="s">
        <v>40</v>
      </c>
      <c r="B22" s="12" t="n">
        <f aca="false">COUNTIF(Vendor_Register!T6:T15,A22)</f>
        <v>1</v>
      </c>
    </row>
    <row r="23" customFormat="false" ht="15" hidden="false" customHeight="false" outlineLevel="0" collapsed="false">
      <c r="A23" s="4" t="s">
        <v>41</v>
      </c>
      <c r="B23" s="12" t="n">
        <f aca="false">COUNTIF(Vendor_Register!T6:T15,A23)</f>
        <v>4</v>
      </c>
    </row>
    <row r="24" customFormat="false" ht="15" hidden="false" customHeight="false" outlineLevel="0" collapsed="false">
      <c r="A24" s="4" t="s">
        <v>42</v>
      </c>
      <c r="B24" s="12" t="n">
        <f aca="false">COUNTIF(Vendor_Register!T6:T15,A24)</f>
        <v>1</v>
      </c>
    </row>
    <row r="25" customFormat="false" ht="15" hidden="false" customHeight="false" outlineLevel="0" collapsed="false">
      <c r="A25" s="4" t="s">
        <v>43</v>
      </c>
      <c r="B25" s="12" t="n">
        <f aca="false">COUNTIF(Vendor_Register!T6:T15,A25)</f>
        <v>0</v>
      </c>
    </row>
    <row r="26" customFormat="false" ht="15" hidden="false" customHeight="false" outlineLevel="0" collapsed="false">
      <c r="A26" s="4" t="s">
        <v>44</v>
      </c>
      <c r="B26" s="12" t="n">
        <f aca="false">COUNTIF(Vendor_Register!T6:T15,A26)</f>
        <v>0</v>
      </c>
    </row>
    <row r="28" customFormat="false" ht="15" hidden="false" customHeight="false" outlineLevel="0" collapsed="false">
      <c r="A28" s="5" t="s">
        <v>45</v>
      </c>
      <c r="B28" s="6"/>
      <c r="C28" s="6"/>
      <c r="D28" s="6"/>
      <c r="E28" s="6"/>
      <c r="F28" s="6"/>
      <c r="G28" s="6"/>
    </row>
    <row r="29" customFormat="false" ht="15" hidden="false" customHeight="false" outlineLevel="0" collapsed="false">
      <c r="A29" s="13" t="s">
        <v>46</v>
      </c>
      <c r="B29" s="14" t="n">
        <v>1</v>
      </c>
      <c r="C29" s="14" t="n">
        <v>2</v>
      </c>
      <c r="D29" s="14" t="n">
        <v>3</v>
      </c>
      <c r="E29" s="14" t="n">
        <v>4</v>
      </c>
      <c r="F29" s="14" t="n">
        <v>5</v>
      </c>
    </row>
    <row r="30" customFormat="false" ht="24" hidden="false" customHeight="true" outlineLevel="0" collapsed="false">
      <c r="A30" s="14" t="n">
        <v>5</v>
      </c>
      <c r="B30" s="15" t="n">
        <f aca="false">COUNTIFS(Risk_Register!$K$6:$K$35,1,Risk_Register!$L$6:$L$35,5,Risk_Register!$S$6:$S$35,"&lt;&gt;Closed")</f>
        <v>0</v>
      </c>
      <c r="C30" s="16" t="n">
        <f aca="false">COUNTIFS(Risk_Register!$K$6:$K$35,2,Risk_Register!$L$6:$L$35,5,Risk_Register!$S$6:$S$35,"&lt;&gt;Closed")</f>
        <v>1</v>
      </c>
      <c r="D30" s="16" t="n">
        <f aca="false">COUNTIFS(Risk_Register!$K$6:$K$35,3,Risk_Register!$L$6:$L$35,5,Risk_Register!$S$6:$S$35,"&lt;&gt;Closed")</f>
        <v>0</v>
      </c>
      <c r="E30" s="17" t="n">
        <f aca="false">COUNTIFS(Risk_Register!$K$6:$K$35,4,Risk_Register!$L$6:$L$35,5,Risk_Register!$S$6:$S$35,"&lt;&gt;Closed")</f>
        <v>0</v>
      </c>
      <c r="F30" s="17" t="n">
        <f aca="false">COUNTIFS(Risk_Register!$K$6:$K$35,5,Risk_Register!$L$6:$L$35,5,Risk_Register!$S$6:$S$35,"&lt;&gt;Closed")</f>
        <v>0</v>
      </c>
    </row>
    <row r="31" customFormat="false" ht="24" hidden="false" customHeight="true" outlineLevel="0" collapsed="false">
      <c r="A31" s="14" t="n">
        <v>4</v>
      </c>
      <c r="B31" s="18" t="n">
        <f aca="false">COUNTIFS(Risk_Register!$K$6:$K$35,1,Risk_Register!$L$6:$L$35,4,Risk_Register!$S$6:$S$35,"&lt;&gt;Closed")</f>
        <v>1</v>
      </c>
      <c r="C31" s="15" t="n">
        <f aca="false">COUNTIFS(Risk_Register!$K$6:$K$35,2,Risk_Register!$L$6:$L$35,4,Risk_Register!$S$6:$S$35,"&lt;&gt;Closed")</f>
        <v>3</v>
      </c>
      <c r="D31" s="16" t="n">
        <f aca="false">COUNTIFS(Risk_Register!$K$6:$K$35,3,Risk_Register!$L$6:$L$35,4,Risk_Register!$S$6:$S$35,"&lt;&gt;Closed")</f>
        <v>0</v>
      </c>
      <c r="E31" s="16" t="n">
        <f aca="false">COUNTIFS(Risk_Register!$K$6:$K$35,4,Risk_Register!$L$6:$L$35,4,Risk_Register!$S$6:$S$35,"&lt;&gt;Closed")</f>
        <v>0</v>
      </c>
      <c r="F31" s="17" t="n">
        <f aca="false">COUNTIFS(Risk_Register!$K$6:$K$35,5,Risk_Register!$L$6:$L$35,4,Risk_Register!$S$6:$S$35,"&lt;&gt;Closed")</f>
        <v>0</v>
      </c>
    </row>
    <row r="32" customFormat="false" ht="24" hidden="false" customHeight="true" outlineLevel="0" collapsed="false">
      <c r="A32" s="14" t="n">
        <v>3</v>
      </c>
      <c r="B32" s="18" t="n">
        <f aca="false">COUNTIFS(Risk_Register!$K$6:$K$35,1,Risk_Register!$L$6:$L$35,3,Risk_Register!$S$6:$S$35,"&lt;&gt;Closed")</f>
        <v>0</v>
      </c>
      <c r="C32" s="15" t="n">
        <f aca="false">COUNTIFS(Risk_Register!$K$6:$K$35,2,Risk_Register!$L$6:$L$35,3,Risk_Register!$S$6:$S$35,"&lt;&gt;Closed")</f>
        <v>3</v>
      </c>
      <c r="D32" s="15" t="n">
        <f aca="false">COUNTIFS(Risk_Register!$K$6:$K$35,3,Risk_Register!$L$6:$L$35,3,Risk_Register!$S$6:$S$35,"&lt;&gt;Closed")</f>
        <v>3</v>
      </c>
      <c r="E32" s="16" t="n">
        <f aca="false">COUNTIFS(Risk_Register!$K$6:$K$35,4,Risk_Register!$L$6:$L$35,3,Risk_Register!$S$6:$S$35,"&lt;&gt;Closed")</f>
        <v>0</v>
      </c>
      <c r="F32" s="16" t="n">
        <f aca="false">COUNTIFS(Risk_Register!$K$6:$K$35,5,Risk_Register!$L$6:$L$35,3,Risk_Register!$S$6:$S$35,"&lt;&gt;Closed")</f>
        <v>0</v>
      </c>
    </row>
    <row r="33" customFormat="false" ht="24" hidden="false" customHeight="true" outlineLevel="0" collapsed="false">
      <c r="A33" s="14" t="n">
        <v>2</v>
      </c>
      <c r="B33" s="18" t="n">
        <f aca="false">COUNTIFS(Risk_Register!$K$6:$K$35,1,Risk_Register!$L$6:$L$35,2,Risk_Register!$S$6:$S$35,"&lt;&gt;Closed")</f>
        <v>0</v>
      </c>
      <c r="C33" s="18" t="n">
        <f aca="false">COUNTIFS(Risk_Register!$K$6:$K$35,2,Risk_Register!$L$6:$L$35,2,Risk_Register!$S$6:$S$35,"&lt;&gt;Closed")</f>
        <v>1</v>
      </c>
      <c r="D33" s="15" t="n">
        <f aca="false">COUNTIFS(Risk_Register!$K$6:$K$35,3,Risk_Register!$L$6:$L$35,2,Risk_Register!$S$6:$S$35,"&lt;&gt;Closed")</f>
        <v>0</v>
      </c>
      <c r="E33" s="15" t="n">
        <f aca="false">COUNTIFS(Risk_Register!$K$6:$K$35,4,Risk_Register!$L$6:$L$35,2,Risk_Register!$S$6:$S$35,"&lt;&gt;Closed")</f>
        <v>0</v>
      </c>
      <c r="F33" s="16" t="n">
        <f aca="false">COUNTIFS(Risk_Register!$K$6:$K$35,5,Risk_Register!$L$6:$L$35,2,Risk_Register!$S$6:$S$35,"&lt;&gt;Closed")</f>
        <v>0</v>
      </c>
    </row>
    <row r="34" customFormat="false" ht="24" hidden="false" customHeight="true" outlineLevel="0" collapsed="false">
      <c r="A34" s="14" t="n">
        <v>1</v>
      </c>
      <c r="B34" s="18" t="n">
        <f aca="false">COUNTIFS(Risk_Register!$K$6:$K$35,1,Risk_Register!$L$6:$L$35,1,Risk_Register!$S$6:$S$35,"&lt;&gt;Closed")</f>
        <v>0</v>
      </c>
      <c r="C34" s="18" t="n">
        <f aca="false">COUNTIFS(Risk_Register!$K$6:$K$35,2,Risk_Register!$L$6:$L$35,1,Risk_Register!$S$6:$S$35,"&lt;&gt;Closed")</f>
        <v>0</v>
      </c>
      <c r="D34" s="18" t="n">
        <f aca="false">COUNTIFS(Risk_Register!$K$6:$K$35,3,Risk_Register!$L$6:$L$35,1,Risk_Register!$S$6:$S$35,"&lt;&gt;Closed")</f>
        <v>0</v>
      </c>
      <c r="E34" s="18" t="n">
        <f aca="false">COUNTIFS(Risk_Register!$K$6:$K$35,4,Risk_Register!$L$6:$L$35,1,Risk_Register!$S$6:$S$35,"&lt;&gt;Closed")</f>
        <v>0</v>
      </c>
      <c r="F34" s="15" t="n">
        <f aca="false">COUNTIFS(Risk_Register!$K$6:$K$35,5,Risk_Register!$L$6:$L$35,1,Risk_Register!$S$6:$S$35,"&lt;&gt;Closed")</f>
        <v>0</v>
      </c>
    </row>
    <row r="36" customFormat="false" ht="15" hidden="false" customHeight="false" outlineLevel="0" collapsed="false">
      <c r="A36" s="5" t="s">
        <v>47</v>
      </c>
      <c r="B36" s="6"/>
      <c r="C36" s="6"/>
      <c r="D36" s="6"/>
      <c r="E36" s="6"/>
      <c r="F36" s="6"/>
      <c r="G36" s="6"/>
      <c r="H36" s="6"/>
    </row>
    <row r="37" customFormat="false" ht="30" hidden="false" customHeight="true" outlineLevel="0" collapsed="false">
      <c r="A37" s="10" t="s">
        <v>48</v>
      </c>
      <c r="B37" s="10" t="s">
        <v>30</v>
      </c>
      <c r="C37" s="10" t="s">
        <v>49</v>
      </c>
      <c r="D37" s="10" t="s">
        <v>31</v>
      </c>
      <c r="E37" s="10" t="s">
        <v>50</v>
      </c>
      <c r="F37" s="10"/>
      <c r="G37" s="10"/>
      <c r="H37" s="10"/>
    </row>
    <row r="38" customFormat="false" ht="15" hidden="false" customHeight="false" outlineLevel="0" collapsed="false">
      <c r="A38" s="4" t="str">
        <f aca="false">IF(Vendor_Register!A6="","",Vendor_Register!B6)</f>
        <v>Stratus Cloud Infrastructure</v>
      </c>
      <c r="B38" s="19" t="str">
        <f aca="false">IF(Vendor_Register!A6="","",Vendor_Register!M6)</f>
        <v>Critical</v>
      </c>
      <c r="C38" s="20" t="n">
        <f aca="false">IF(Vendor_Register!A6="","",Vendor_Register!N6)</f>
        <v>0.961538461538462</v>
      </c>
      <c r="D38" s="19" t="str">
        <f aca="false">IF(Vendor_Register!A6="","",Vendor_Register!Q6)</f>
        <v>Medium</v>
      </c>
      <c r="E38" s="4" t="str">
        <f aca="false">IF(Vendor_Register!A6="","",Vendor_Register!R6)</f>
        <v>Approve with standard monitoring</v>
      </c>
      <c r="F38" s="4"/>
      <c r="G38" s="4"/>
      <c r="H38" s="4"/>
    </row>
    <row r="39" customFormat="false" ht="15" hidden="false" customHeight="false" outlineLevel="0" collapsed="false">
      <c r="A39" s="4" t="str">
        <f aca="false">IF(Vendor_Register!A7="","",Vendor_Register!B7)</f>
        <v>NimbusAI Language Platform</v>
      </c>
      <c r="B39" s="19" t="str">
        <f aca="false">IF(Vendor_Register!A7="","",Vendor_Register!M7)</f>
        <v>High</v>
      </c>
      <c r="C39" s="20" t="n">
        <f aca="false">IF(Vendor_Register!A7="","",Vendor_Register!N7)</f>
        <v>0.815315315315315</v>
      </c>
      <c r="D39" s="19" t="str">
        <f aca="false">IF(Vendor_Register!A7="","",Vendor_Register!Q7)</f>
        <v>Medium</v>
      </c>
      <c r="E39" s="4" t="str">
        <f aca="false">IF(Vendor_Register!A7="","",Vendor_Register!R7)</f>
        <v>Remediate critical gaps before approval</v>
      </c>
      <c r="F39" s="4"/>
      <c r="G39" s="4"/>
      <c r="H39" s="4"/>
    </row>
    <row r="40" customFormat="false" ht="15" hidden="false" customHeight="false" outlineLevel="0" collapsed="false">
      <c r="A40" s="4" t="str">
        <f aca="false">IF(Vendor_Register!A8="","",Vendor_Register!B8)</f>
        <v>Orbit CRM Suite</v>
      </c>
      <c r="B40" s="19" t="str">
        <f aca="false">IF(Vendor_Register!A8="","",Vendor_Register!M8)</f>
        <v>High</v>
      </c>
      <c r="C40" s="20" t="n">
        <f aca="false">IF(Vendor_Register!A8="","",Vendor_Register!N8)</f>
        <v>0.510989010989011</v>
      </c>
      <c r="D40" s="19" t="str">
        <f aca="false">IF(Vendor_Register!A8="","",Vendor_Register!Q8)</f>
        <v>High</v>
      </c>
      <c r="E40" s="4" t="str">
        <f aca="false">IF(Vendor_Register!A8="","",Vendor_Register!R8)</f>
        <v>Conditional approval with remediation plan</v>
      </c>
      <c r="F40" s="4"/>
      <c r="G40" s="4"/>
      <c r="H40" s="4"/>
    </row>
    <row r="41" customFormat="false" ht="15" hidden="false" customHeight="false" outlineLevel="0" collapsed="false">
      <c r="A41" s="4" t="str">
        <f aca="false">IF(Vendor_Register!A9="","",Vendor_Register!B9)</f>
        <v>InsightML Analytics</v>
      </c>
      <c r="B41" s="19" t="str">
        <f aca="false">IF(Vendor_Register!A9="","",Vendor_Register!M9)</f>
        <v>Medium</v>
      </c>
      <c r="C41" s="20" t="n">
        <f aca="false">IF(Vendor_Register!A9="","",Vendor_Register!N9)</f>
        <v>0.743243243243243</v>
      </c>
      <c r="D41" s="19" t="str">
        <f aca="false">IF(Vendor_Register!A9="","",Vendor_Register!Q9)</f>
        <v>Low</v>
      </c>
      <c r="E41" s="4" t="str">
        <f aca="false">IF(Vendor_Register!A9="","",Vendor_Register!R9)</f>
        <v>Approve</v>
      </c>
      <c r="F41" s="4"/>
      <c r="G41" s="4"/>
      <c r="H41" s="4"/>
    </row>
    <row r="42" customFormat="false" ht="15" hidden="false" customHeight="false" outlineLevel="0" collapsed="false">
      <c r="A42" s="4" t="str">
        <f aca="false">IF(Vendor_Register!A10="","",Vendor_Register!B10)</f>
        <v>Cirrus Backup &amp; Recovery</v>
      </c>
      <c r="B42" s="19" t="str">
        <f aca="false">IF(Vendor_Register!A10="","",Vendor_Register!M10)</f>
        <v>High</v>
      </c>
      <c r="C42" s="20" t="n">
        <f aca="false">IF(Vendor_Register!A10="","",Vendor_Register!N10)</f>
        <v>0.956043956043956</v>
      </c>
      <c r="D42" s="19" t="str">
        <f aca="false">IF(Vendor_Register!A10="","",Vendor_Register!Q10)</f>
        <v>Low</v>
      </c>
      <c r="E42" s="4" t="str">
        <f aca="false">IF(Vendor_Register!A10="","",Vendor_Register!R10)</f>
        <v>Approve</v>
      </c>
      <c r="F42" s="4"/>
      <c r="G42" s="4"/>
      <c r="H42" s="4"/>
    </row>
    <row r="43" customFormat="false" ht="15" hidden="false" customHeight="false" outlineLevel="0" collapsed="false">
      <c r="A43" s="4" t="str">
        <f aca="false">IF(Vendor_Register!A11="","",Vendor_Register!B11)</f>
        <v>Brightleaf Survey Tool</v>
      </c>
      <c r="B43" s="19" t="str">
        <f aca="false">IF(Vendor_Register!A11="","",Vendor_Register!M11)</f>
        <v>Low</v>
      </c>
      <c r="C43" s="20" t="n">
        <f aca="false">IF(Vendor_Register!A11="","",Vendor_Register!N11)</f>
        <v>0.587912087912088</v>
      </c>
      <c r="D43" s="19" t="str">
        <f aca="false">IF(Vendor_Register!A11="","",Vendor_Register!Q11)</f>
        <v>Low</v>
      </c>
      <c r="E43" s="4" t="str">
        <f aca="false">IF(Vendor_Register!A11="","",Vendor_Register!R11)</f>
        <v>Approve</v>
      </c>
      <c r="F43" s="4"/>
      <c r="G43" s="4"/>
      <c r="H43" s="4"/>
    </row>
    <row r="44" customFormat="false" ht="15" hidden="false" customHeight="false" outlineLevel="0" collapsed="false">
      <c r="A44" s="4" t="str">
        <f aca="false">IF(Vendor_Register!A12="","",Vendor_Register!B12)</f>
        <v/>
      </c>
      <c r="B44" s="19" t="str">
        <f aca="false">IF(Vendor_Register!A12="","",Vendor_Register!M12)</f>
        <v/>
      </c>
      <c r="C44" s="20" t="str">
        <f aca="false">IF(Vendor_Register!A12="","",Vendor_Register!N12)</f>
        <v/>
      </c>
      <c r="D44" s="19" t="str">
        <f aca="false">IF(Vendor_Register!A12="","",Vendor_Register!Q12)</f>
        <v/>
      </c>
      <c r="E44" s="4" t="str">
        <f aca="false">IF(Vendor_Register!A12="","",Vendor_Register!R12)</f>
        <v/>
      </c>
      <c r="F44" s="4"/>
      <c r="G44" s="4"/>
      <c r="H44" s="4"/>
    </row>
    <row r="45" customFormat="false" ht="15" hidden="false" customHeight="false" outlineLevel="0" collapsed="false">
      <c r="A45" s="4" t="str">
        <f aca="false">IF(Vendor_Register!A13="","",Vendor_Register!B13)</f>
        <v/>
      </c>
      <c r="B45" s="19" t="str">
        <f aca="false">IF(Vendor_Register!A13="","",Vendor_Register!M13)</f>
        <v/>
      </c>
      <c r="C45" s="20" t="str">
        <f aca="false">IF(Vendor_Register!A13="","",Vendor_Register!N13)</f>
        <v/>
      </c>
      <c r="D45" s="19" t="str">
        <f aca="false">IF(Vendor_Register!A13="","",Vendor_Register!Q13)</f>
        <v/>
      </c>
      <c r="E45" s="4" t="str">
        <f aca="false">IF(Vendor_Register!A13="","",Vendor_Register!R13)</f>
        <v/>
      </c>
      <c r="F45" s="4"/>
      <c r="G45" s="4"/>
      <c r="H45" s="4"/>
    </row>
    <row r="46" customFormat="false" ht="15" hidden="false" customHeight="false" outlineLevel="0" collapsed="false">
      <c r="A46" s="4" t="str">
        <f aca="false">IF(Vendor_Register!A14="","",Vendor_Register!B14)</f>
        <v/>
      </c>
      <c r="B46" s="19" t="str">
        <f aca="false">IF(Vendor_Register!A14="","",Vendor_Register!M14)</f>
        <v/>
      </c>
      <c r="C46" s="20" t="str">
        <f aca="false">IF(Vendor_Register!A14="","",Vendor_Register!N14)</f>
        <v/>
      </c>
      <c r="D46" s="19" t="str">
        <f aca="false">IF(Vendor_Register!A14="","",Vendor_Register!Q14)</f>
        <v/>
      </c>
      <c r="E46" s="4" t="str">
        <f aca="false">IF(Vendor_Register!A14="","",Vendor_Register!R14)</f>
        <v/>
      </c>
      <c r="F46" s="4"/>
      <c r="G46" s="4"/>
      <c r="H46" s="4"/>
    </row>
    <row r="47" customFormat="false" ht="15" hidden="false" customHeight="false" outlineLevel="0" collapsed="false">
      <c r="A47" s="4" t="str">
        <f aca="false">IF(Vendor_Register!A15="","",Vendor_Register!B15)</f>
        <v/>
      </c>
      <c r="B47" s="19" t="str">
        <f aca="false">IF(Vendor_Register!A15="","",Vendor_Register!M15)</f>
        <v/>
      </c>
      <c r="C47" s="20" t="str">
        <f aca="false">IF(Vendor_Register!A15="","",Vendor_Register!N15)</f>
        <v/>
      </c>
      <c r="D47" s="19" t="str">
        <f aca="false">IF(Vendor_Register!A15="","",Vendor_Register!Q15)</f>
        <v/>
      </c>
      <c r="E47" s="4" t="str">
        <f aca="false">IF(Vendor_Register!A15="","",Vendor_Register!R15)</f>
        <v/>
      </c>
      <c r="F47" s="4"/>
      <c r="G47" s="4"/>
      <c r="H47" s="4"/>
    </row>
  </sheetData>
  <mergeCells count="11">
    <mergeCell ref="E37:H37"/>
    <mergeCell ref="E38:H38"/>
    <mergeCell ref="E39:H39"/>
    <mergeCell ref="E40:H40"/>
    <mergeCell ref="E41:H41"/>
    <mergeCell ref="E42:H42"/>
    <mergeCell ref="E43:H43"/>
    <mergeCell ref="E44:H44"/>
    <mergeCell ref="E45:H45"/>
    <mergeCell ref="E46:H46"/>
    <mergeCell ref="E47:H47"/>
  </mergeCells>
  <conditionalFormatting sqref="A14:A17">
    <cfRule type="cellIs" priority="2" operator="equal" aboveAverage="0" equalAverage="0" bottom="0" percent="0" rank="0" text="" dxfId="0">
      <formula>"Critical"</formula>
    </cfRule>
    <cfRule type="cellIs" priority="3" operator="equal" aboveAverage="0" equalAverage="0" bottom="0" percent="0" rank="0" text="" dxfId="1">
      <formula>"High"</formula>
    </cfRule>
    <cfRule type="cellIs" priority="4" operator="equal" aboveAverage="0" equalAverage="0" bottom="0" percent="0" rank="0" text="" dxfId="2">
      <formula>"Medium"</formula>
    </cfRule>
    <cfRule type="cellIs" priority="5" operator="equal" aboveAverage="0" equalAverage="0" bottom="0" percent="0" rank="0" text="" dxfId="3">
      <formula>"Low"</formula>
    </cfRule>
  </conditionalFormatting>
  <conditionalFormatting sqref="B38:B47">
    <cfRule type="cellIs" priority="6" operator="equal" aboveAverage="0" equalAverage="0" bottom="0" percent="0" rank="0" text="" dxfId="0">
      <formula>"Critical"</formula>
    </cfRule>
    <cfRule type="cellIs" priority="7" operator="equal" aboveAverage="0" equalAverage="0" bottom="0" percent="0" rank="0" text="" dxfId="1">
      <formula>"High"</formula>
    </cfRule>
    <cfRule type="cellIs" priority="8" operator="equal" aboveAverage="0" equalAverage="0" bottom="0" percent="0" rank="0" text="" dxfId="2">
      <formula>"Medium"</formula>
    </cfRule>
    <cfRule type="cellIs" priority="9" operator="equal" aboveAverage="0" equalAverage="0" bottom="0" percent="0" rank="0" text="" dxfId="3">
      <formula>"Low"</formula>
    </cfRule>
  </conditionalFormatting>
  <conditionalFormatting sqref="D38:D47">
    <cfRule type="cellIs" priority="10" operator="equal" aboveAverage="0" equalAverage="0" bottom="0" percent="0" rank="0" text="" dxfId="0">
      <formula>"Critical"</formula>
    </cfRule>
    <cfRule type="cellIs" priority="11" operator="equal" aboveAverage="0" equalAverage="0" bottom="0" percent="0" rank="0" text="" dxfId="1">
      <formula>"High"</formula>
    </cfRule>
    <cfRule type="cellIs" priority="12" operator="equal" aboveAverage="0" equalAverage="0" bottom="0" percent="0" rank="0" text="" dxfId="2">
      <formula>"Medium"</formula>
    </cfRule>
    <cfRule type="cellIs" priority="13" operator="equal" aboveAverage="0" equalAverage="0" bottom="0" percent="0" rank="0" text="" dxfId="3">
      <formula>"Low"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true"/>
  </sheetPr>
  <dimension ref="A1:Z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8"/>
    <col collapsed="false" customWidth="true" hidden="false" outlineLevel="0" max="3" min="3" style="0" width="36"/>
    <col collapsed="false" customWidth="true" hidden="false" outlineLevel="0" max="5" min="4" style="0" width="22"/>
    <col collapsed="false" customWidth="true" hidden="false" outlineLevel="0" max="9" min="6" style="0" width="11"/>
    <col collapsed="false" customWidth="true" hidden="false" outlineLevel="0" max="10" min="10" style="0" width="12"/>
    <col collapsed="false" customWidth="true" hidden="false" outlineLevel="0" max="11" min="11" style="0" width="9"/>
    <col collapsed="false" customWidth="true" hidden="false" outlineLevel="0" max="13" min="12" style="0" width="11"/>
    <col collapsed="false" customWidth="true" hidden="false" outlineLevel="0" max="14" min="14" style="0" width="13"/>
    <col collapsed="false" customWidth="true" hidden="false" outlineLevel="0" max="15" min="15" style="0" width="9"/>
    <col collapsed="false" customWidth="true" hidden="false" outlineLevel="0" max="16" min="16" style="0" width="10"/>
    <col collapsed="false" customWidth="true" hidden="false" outlineLevel="0" max="17" min="17" style="0" width="11"/>
    <col collapsed="false" customWidth="true" hidden="false" outlineLevel="0" max="19" min="18" style="0" width="34"/>
    <col collapsed="false" customWidth="true" hidden="false" outlineLevel="0" max="20" min="20" style="0" width="17"/>
    <col collapsed="false" customWidth="true" hidden="false" outlineLevel="0" max="21" min="21" style="0" width="13"/>
    <col collapsed="false" customWidth="true" hidden="false" outlineLevel="0" max="22" min="22" style="0" width="10"/>
    <col collapsed="false" customWidth="true" hidden="false" outlineLevel="0" max="23" min="23" style="0" width="13"/>
    <col collapsed="false" customWidth="true" hidden="false" outlineLevel="0" max="24" min="24" style="0" width="15"/>
    <col collapsed="false" customWidth="true" hidden="false" outlineLevel="0" max="25" min="25" style="0" width="13"/>
    <col collapsed="false" customWidth="true" hidden="false" outlineLevel="0" max="26" min="26" style="0" width="40"/>
  </cols>
  <sheetData>
    <row r="1" customFormat="false" ht="19.7" hidden="false" customHeight="false" outlineLevel="0" collapsed="false">
      <c r="A1" s="1" t="s">
        <v>51</v>
      </c>
    </row>
    <row r="2" customFormat="false" ht="15" hidden="false" customHeight="false" outlineLevel="0" collapsed="false">
      <c r="A2" s="2" t="s">
        <v>52</v>
      </c>
    </row>
    <row r="5" customFormat="false" ht="57.75" hidden="false" customHeight="true" outlineLevel="0" collapsed="false">
      <c r="A5" s="10" t="s">
        <v>53</v>
      </c>
      <c r="B5" s="10" t="s">
        <v>54</v>
      </c>
      <c r="C5" s="10" t="s">
        <v>55</v>
      </c>
      <c r="D5" s="10" t="s">
        <v>56</v>
      </c>
      <c r="E5" s="10" t="s">
        <v>57</v>
      </c>
      <c r="F5" s="10" t="s">
        <v>58</v>
      </c>
      <c r="G5" s="10" t="s">
        <v>59</v>
      </c>
      <c r="H5" s="10" t="s">
        <v>60</v>
      </c>
      <c r="I5" s="10" t="s">
        <v>61</v>
      </c>
      <c r="J5" s="10" t="s">
        <v>62</v>
      </c>
      <c r="K5" s="10" t="s">
        <v>63</v>
      </c>
      <c r="L5" s="10" t="s">
        <v>64</v>
      </c>
      <c r="M5" s="10" t="s">
        <v>65</v>
      </c>
      <c r="N5" s="10" t="s">
        <v>49</v>
      </c>
      <c r="O5" s="10" t="s">
        <v>66</v>
      </c>
      <c r="P5" s="10" t="s">
        <v>67</v>
      </c>
      <c r="Q5" s="10" t="s">
        <v>68</v>
      </c>
      <c r="R5" s="10" t="s">
        <v>50</v>
      </c>
      <c r="S5" s="10" t="s">
        <v>69</v>
      </c>
      <c r="T5" s="10" t="s">
        <v>36</v>
      </c>
      <c r="U5" s="10" t="s">
        <v>70</v>
      </c>
      <c r="V5" s="10" t="s">
        <v>71</v>
      </c>
      <c r="W5" s="10" t="s">
        <v>72</v>
      </c>
      <c r="X5" s="10" t="s">
        <v>73</v>
      </c>
      <c r="Y5" s="10" t="s">
        <v>74</v>
      </c>
      <c r="Z5" s="10" t="s">
        <v>75</v>
      </c>
    </row>
    <row r="6" customFormat="false" ht="23.85" hidden="false" customHeight="false" outlineLevel="0" collapsed="false">
      <c r="A6" s="21" t="s">
        <v>76</v>
      </c>
      <c r="B6" s="21" t="s">
        <v>77</v>
      </c>
      <c r="C6" s="21" t="s">
        <v>78</v>
      </c>
      <c r="D6" s="21" t="s">
        <v>79</v>
      </c>
      <c r="E6" s="21" t="s">
        <v>80</v>
      </c>
      <c r="F6" s="22" t="n">
        <v>5</v>
      </c>
      <c r="G6" s="22" t="n">
        <v>5</v>
      </c>
      <c r="H6" s="22" t="n">
        <v>5</v>
      </c>
      <c r="I6" s="22" t="n">
        <v>4</v>
      </c>
      <c r="J6" s="22" t="n">
        <v>4</v>
      </c>
      <c r="K6" s="22" t="n">
        <v>1</v>
      </c>
      <c r="L6" s="23" t="n">
        <f aca="false">IF($A6="","",ROUND((F6*Methodology!$B$10+G6*Methodology!$B$11+H6*Methodology!$B$12+I6*Methodology!$B$13+J6*Methodology!$B$14+K6*Methodology!$B$15)/Methodology!$B$16*Methodology!$B$6,1))</f>
        <v>88</v>
      </c>
      <c r="M6" s="19" t="str">
        <f aca="false">IF($A6="","",INDEX(Methodology!$A$20:$A$23,MATCH(L6,Methodology!$B$20:$B$23,1)))</f>
        <v>Critical</v>
      </c>
      <c r="N6" s="20" t="n">
        <f aca="false">IF($A6="","",IFERROR(INDEX(Assessment_Results!$C$6:$C$15,MATCH($A6,Assessment_Results!$A$6:$A$15,0)),""))</f>
        <v>0.961538461538462</v>
      </c>
      <c r="O6" s="12" t="n">
        <f aca="false">IF($A6="","",IFERROR(INDEX(Assessment_Results!$E$6:$E$15,MATCH($A6,Assessment_Results!$A$6:$A$15,0)),""))</f>
        <v>0</v>
      </c>
      <c r="P6" s="23" t="n">
        <f aca="false">IF(OR($A6="",N6=""),"",ROUND(L6*(1-N6*Methodology!$B$5),1))</f>
        <v>28.8</v>
      </c>
      <c r="Q6" s="19" t="str">
        <f aca="false">IF(P6="","",INDEX(Methodology!$A$20:$A$23,MATCH(P6,Methodology!$C$20:$C$23,1)))</f>
        <v>Medium</v>
      </c>
      <c r="R6" s="4" t="str">
        <f aca="false">IF($A6="","",IF(N6="","Assessment pending",IF(O6&gt;0,"Remediate critical gaps before approval",IF(Q6="Critical","Escalate: executive risk acceptance required",IF(Q6="High","Conditional approval with remediation plan",IF(Q6="Medium","Approve with standard monitoring","Approve"))))))</f>
        <v>Approve with standard monitoring</v>
      </c>
      <c r="S6" s="4" t="str">
        <f aca="false">IF($A6="","",IF(Q6="","Pending assessment",INDEX(Approval_Workflow!$B$20:$B$23,MATCH(Q6,Approval_Workflow!$A$20:$A$23,0))))</f>
        <v>Business Owner + Information Security Manager</v>
      </c>
      <c r="T6" s="21" t="s">
        <v>41</v>
      </c>
      <c r="U6" s="24" t="n">
        <v>46093</v>
      </c>
      <c r="V6" s="12" t="n">
        <f aca="false">IF($A6="","",INDEX(Methodology!$D$20:$D$23,MATCH(M6,Methodology!$A$20:$A$23,0)))</f>
        <v>12</v>
      </c>
      <c r="W6" s="25" t="n">
        <f aca="false">IF(OR($A6="",U6=""),"",EDATE(U6,V6))</f>
        <v>46458</v>
      </c>
      <c r="X6" s="19" t="str">
        <f aca="false">IF(W6="","",IF(W6&lt;Methodology!$B$4,"Overdue",IF(W6-Methodology!$B$4&lt;=90,"Due within 90 days","On schedule")))</f>
        <v>On schedule</v>
      </c>
      <c r="Y6" s="24" t="n">
        <v>46568</v>
      </c>
      <c r="Z6" s="21"/>
    </row>
    <row r="7" customFormat="false" ht="35.05" hidden="false" customHeight="false" outlineLevel="0" collapsed="false">
      <c r="A7" s="21" t="s">
        <v>81</v>
      </c>
      <c r="B7" s="21" t="s">
        <v>82</v>
      </c>
      <c r="C7" s="21" t="s">
        <v>83</v>
      </c>
      <c r="D7" s="21" t="s">
        <v>84</v>
      </c>
      <c r="E7" s="21" t="s">
        <v>85</v>
      </c>
      <c r="F7" s="22" t="n">
        <v>5</v>
      </c>
      <c r="G7" s="22" t="n">
        <v>3</v>
      </c>
      <c r="H7" s="22" t="n">
        <v>3</v>
      </c>
      <c r="I7" s="22" t="n">
        <v>4</v>
      </c>
      <c r="J7" s="22" t="n">
        <v>2</v>
      </c>
      <c r="K7" s="22" t="n">
        <v>5</v>
      </c>
      <c r="L7" s="23" t="n">
        <f aca="false">IF($A7="","",ROUND((F7*Methodology!$B$10+G7*Methodology!$B$11+H7*Methodology!$B$12+I7*Methodology!$B$13+J7*Methodology!$B$14+K7*Methodology!$B$15)/Methodology!$B$16*Methodology!$B$6,1))</f>
        <v>76</v>
      </c>
      <c r="M7" s="19" t="str">
        <f aca="false">IF($A7="","",INDEX(Methodology!$A$20:$A$23,MATCH(L7,Methodology!$B$20:$B$23,1)))</f>
        <v>High</v>
      </c>
      <c r="N7" s="20" t="n">
        <f aca="false">IF($A7="","",IFERROR(INDEX(Assessment_Results!$C$6:$C$15,MATCH($A7,Assessment_Results!$A$6:$A$15,0)),""))</f>
        <v>0.815315315315315</v>
      </c>
      <c r="O7" s="12" t="n">
        <f aca="false">IF($A7="","",IFERROR(INDEX(Assessment_Results!$E$6:$E$15,MATCH($A7,Assessment_Results!$A$6:$A$15,0)),""))</f>
        <v>1</v>
      </c>
      <c r="P7" s="23" t="n">
        <f aca="false">IF(OR($A7="",N7=""),"",ROUND(L7*(1-N7*Methodology!$B$5),1))</f>
        <v>32.6</v>
      </c>
      <c r="Q7" s="19" t="str">
        <f aca="false">IF(P7="","",INDEX(Methodology!$A$20:$A$23,MATCH(P7,Methodology!$C$20:$C$23,1)))</f>
        <v>Medium</v>
      </c>
      <c r="R7" s="4" t="str">
        <f aca="false">IF($A7="","",IF(N7="","Assessment pending",IF(O7&gt;0,"Remediate critical gaps before approval",IF(Q7="Critical","Escalate: executive risk acceptance required",IF(Q7="High","Conditional approval with remediation plan",IF(Q7="Medium","Approve with standard monitoring","Approve"))))))</f>
        <v>Remediate critical gaps before approval</v>
      </c>
      <c r="S7" s="4" t="str">
        <f aca="false">IF($A7="","",IF(Q7="","Pending assessment",INDEX(Approval_Workflow!$B$20:$B$23,MATCH(Q7,Approval_Workflow!$A$20:$A$23,0))))</f>
        <v>Business Owner + Information Security Manager</v>
      </c>
      <c r="T7" s="21" t="s">
        <v>40</v>
      </c>
      <c r="U7" s="24"/>
      <c r="V7" s="12" t="n">
        <f aca="false">IF($A7="","",INDEX(Methodology!$D$20:$D$23,MATCH(M7,Methodology!$A$20:$A$23,0)))</f>
        <v>18</v>
      </c>
      <c r="W7" s="25" t="str">
        <f aca="false">IF(OR($A7="",U7=""),"",EDATE(U7,V7))</f>
        <v/>
      </c>
      <c r="X7" s="19" t="str">
        <f aca="false">IF(W7="","",IF(W7&lt;Methodology!$B$4,"Overdue",IF(W7-Methodology!$B$4&lt;=90,"Due within 90 days","On schedule")))</f>
        <v/>
      </c>
      <c r="Y7" s="24" t="n">
        <v>46675</v>
      </c>
      <c r="Z7" s="21" t="s">
        <v>86</v>
      </c>
    </row>
    <row r="8" customFormat="false" ht="23.85" hidden="false" customHeight="false" outlineLevel="0" collapsed="false">
      <c r="A8" s="21" t="s">
        <v>87</v>
      </c>
      <c r="B8" s="21" t="s">
        <v>88</v>
      </c>
      <c r="C8" s="21" t="s">
        <v>89</v>
      </c>
      <c r="D8" s="21" t="s">
        <v>90</v>
      </c>
      <c r="E8" s="21" t="s">
        <v>91</v>
      </c>
      <c r="F8" s="22" t="n">
        <v>4</v>
      </c>
      <c r="G8" s="22" t="n">
        <v>4</v>
      </c>
      <c r="H8" s="22" t="n">
        <v>3</v>
      </c>
      <c r="I8" s="22" t="n">
        <v>3</v>
      </c>
      <c r="J8" s="22" t="n">
        <v>3</v>
      </c>
      <c r="K8" s="22" t="n">
        <v>1</v>
      </c>
      <c r="L8" s="23" t="n">
        <f aca="false">IF($A8="","",ROUND((F8*Methodology!$B$10+G8*Methodology!$B$11+H8*Methodology!$B$12+I8*Methodology!$B$13+J8*Methodology!$B$14+K8*Methodology!$B$15)/Methodology!$B$16*Methodology!$B$6,1))</f>
        <v>67</v>
      </c>
      <c r="M8" s="19" t="str">
        <f aca="false">IF($A8="","",INDEX(Methodology!$A$20:$A$23,MATCH(L8,Methodology!$B$20:$B$23,1)))</f>
        <v>High</v>
      </c>
      <c r="N8" s="20" t="n">
        <f aca="false">IF($A8="","",IFERROR(INDEX(Assessment_Results!$C$6:$C$15,MATCH($A8,Assessment_Results!$A$6:$A$15,0)),""))</f>
        <v>0.510989010989011</v>
      </c>
      <c r="O8" s="12" t="n">
        <f aca="false">IF($A8="","",IFERROR(INDEX(Assessment_Results!$E$6:$E$15,MATCH($A8,Assessment_Results!$A$6:$A$15,0)),""))</f>
        <v>0</v>
      </c>
      <c r="P8" s="23" t="n">
        <f aca="false">IF(OR($A8="",N8=""),"",ROUND(L8*(1-N8*Methodology!$B$5),1))</f>
        <v>43</v>
      </c>
      <c r="Q8" s="19" t="str">
        <f aca="false">IF(P8="","",INDEX(Methodology!$A$20:$A$23,MATCH(P8,Methodology!$C$20:$C$23,1)))</f>
        <v>High</v>
      </c>
      <c r="R8" s="4" t="str">
        <f aca="false">IF($A8="","",IF(N8="","Assessment pending",IF(O8&gt;0,"Remediate critical gaps before approval",IF(Q8="Critical","Escalate: executive risk acceptance required",IF(Q8="High","Conditional approval with remediation plan",IF(Q8="Medium","Approve with standard monitoring","Approve"))))))</f>
        <v>Conditional approval with remediation plan</v>
      </c>
      <c r="S8" s="4" t="str">
        <f aca="false">IF($A8="","",IF(Q8="","Pending assessment",INDEX(Approval_Workflow!$B$20:$B$23,MATCH(Q8,Approval_Workflow!$A$20:$A$23,0))))</f>
        <v>Information Security Manager + Privacy/Legal + Head of Business Unit</v>
      </c>
      <c r="T8" s="21" t="s">
        <v>42</v>
      </c>
      <c r="U8" s="24" t="n">
        <v>45920</v>
      </c>
      <c r="V8" s="12" t="n">
        <f aca="false">IF($A8="","",INDEX(Methodology!$D$20:$D$23,MATCH(M8,Methodology!$A$20:$A$23,0)))</f>
        <v>18</v>
      </c>
      <c r="W8" s="25" t="n">
        <f aca="false">IF(OR($A8="",U8=""),"",EDATE(U8,V8))</f>
        <v>46466</v>
      </c>
      <c r="X8" s="19" t="str">
        <f aca="false">IF(W8="","",IF(W8&lt;Methodology!$B$4,"Overdue",IF(W8-Methodology!$B$4&lt;=90,"Due within 90 days","On schedule")))</f>
        <v>On schedule</v>
      </c>
      <c r="Y8" s="24" t="n">
        <v>46630</v>
      </c>
      <c r="Z8" s="21" t="s">
        <v>92</v>
      </c>
    </row>
    <row r="9" customFormat="false" ht="23.85" hidden="false" customHeight="false" outlineLevel="0" collapsed="false">
      <c r="A9" s="21" t="s">
        <v>93</v>
      </c>
      <c r="B9" s="21" t="s">
        <v>94</v>
      </c>
      <c r="C9" s="21" t="s">
        <v>95</v>
      </c>
      <c r="D9" s="21" t="s">
        <v>84</v>
      </c>
      <c r="E9" s="21" t="s">
        <v>96</v>
      </c>
      <c r="F9" s="22" t="n">
        <v>3</v>
      </c>
      <c r="G9" s="22" t="n">
        <v>2</v>
      </c>
      <c r="H9" s="22" t="n">
        <v>2</v>
      </c>
      <c r="I9" s="22" t="n">
        <v>2</v>
      </c>
      <c r="J9" s="22" t="n">
        <v>2</v>
      </c>
      <c r="K9" s="22" t="n">
        <v>4</v>
      </c>
      <c r="L9" s="23" t="n">
        <f aca="false">IF($A9="","",ROUND((F9*Methodology!$B$10+G9*Methodology!$B$11+H9*Methodology!$B$12+I9*Methodology!$B$13+J9*Methodology!$B$14+K9*Methodology!$B$15)/Methodology!$B$16*Methodology!$B$6,1))</f>
        <v>50</v>
      </c>
      <c r="M9" s="19" t="str">
        <f aca="false">IF($A9="","",INDEX(Methodology!$A$20:$A$23,MATCH(L9,Methodology!$B$20:$B$23,1)))</f>
        <v>Medium</v>
      </c>
      <c r="N9" s="20" t="n">
        <f aca="false">IF($A9="","",IFERROR(INDEX(Assessment_Results!$C$6:$C$15,MATCH($A9,Assessment_Results!$A$6:$A$15,0)),""))</f>
        <v>0.743243243243243</v>
      </c>
      <c r="O9" s="12" t="n">
        <f aca="false">IF($A9="","",IFERROR(INDEX(Assessment_Results!$E$6:$E$15,MATCH($A9,Assessment_Results!$A$6:$A$15,0)),""))</f>
        <v>0</v>
      </c>
      <c r="P9" s="23" t="n">
        <f aca="false">IF(OR($A9="",N9=""),"",ROUND(L9*(1-N9*Methodology!$B$5),1))</f>
        <v>24</v>
      </c>
      <c r="Q9" s="19" t="str">
        <f aca="false">IF(P9="","",INDEX(Methodology!$A$20:$A$23,MATCH(P9,Methodology!$C$20:$C$23,1)))</f>
        <v>Low</v>
      </c>
      <c r="R9" s="4" t="str">
        <f aca="false">IF($A9="","",IF(N9="","Assessment pending",IF(O9&gt;0,"Remediate critical gaps before approval",IF(Q9="Critical","Escalate: executive risk acceptance required",IF(Q9="High","Conditional approval with remediation plan",IF(Q9="Medium","Approve with standard monitoring","Approve"))))))</f>
        <v>Approve</v>
      </c>
      <c r="S9" s="4" t="str">
        <f aca="false">IF($A9="","",IF(Q9="","Pending assessment",INDEX(Approval_Workflow!$B$20:$B$23,MATCH(Q9,Approval_Workflow!$A$20:$A$23,0))))</f>
        <v>Business Owner + GRC Analyst</v>
      </c>
      <c r="T9" s="21" t="s">
        <v>41</v>
      </c>
      <c r="U9" s="24" t="n">
        <v>45519</v>
      </c>
      <c r="V9" s="12" t="n">
        <f aca="false">IF($A9="","",INDEX(Methodology!$D$20:$D$23,MATCH(M9,Methodology!$A$20:$A$23,0)))</f>
        <v>24</v>
      </c>
      <c r="W9" s="25" t="n">
        <f aca="false">IF(OR($A9="",U9=""),"",EDATE(U9,V9))</f>
        <v>46249</v>
      </c>
      <c r="X9" s="19" t="str">
        <f aca="false">IF(W9="","",IF(W9&lt;Methodology!$B$4,"Overdue",IF(W9-Methodology!$B$4&lt;=90,"Due within 90 days","On schedule")))</f>
        <v>Overdue</v>
      </c>
      <c r="Y9" s="24" t="n">
        <v>46507</v>
      </c>
      <c r="Z9" s="21" t="s">
        <v>97</v>
      </c>
    </row>
    <row r="10" customFormat="false" ht="23.85" hidden="false" customHeight="false" outlineLevel="0" collapsed="false">
      <c r="A10" s="21" t="s">
        <v>98</v>
      </c>
      <c r="B10" s="21" t="s">
        <v>99</v>
      </c>
      <c r="C10" s="21" t="s">
        <v>100</v>
      </c>
      <c r="D10" s="21" t="s">
        <v>90</v>
      </c>
      <c r="E10" s="21" t="s">
        <v>101</v>
      </c>
      <c r="F10" s="22" t="n">
        <v>4</v>
      </c>
      <c r="G10" s="22" t="n">
        <v>4</v>
      </c>
      <c r="H10" s="22" t="n">
        <v>2</v>
      </c>
      <c r="I10" s="22" t="n">
        <v>3</v>
      </c>
      <c r="J10" s="22" t="n">
        <v>3</v>
      </c>
      <c r="K10" s="22" t="n">
        <v>1</v>
      </c>
      <c r="L10" s="23" t="n">
        <f aca="false">IF($A10="","",ROUND((F10*Methodology!$B$10+G10*Methodology!$B$11+H10*Methodology!$B$12+I10*Methodology!$B$13+J10*Methodology!$B$14+K10*Methodology!$B$15)/Methodology!$B$16*Methodology!$B$6,1))</f>
        <v>64</v>
      </c>
      <c r="M10" s="19" t="str">
        <f aca="false">IF($A10="","",INDEX(Methodology!$A$20:$A$23,MATCH(L10,Methodology!$B$20:$B$23,1)))</f>
        <v>High</v>
      </c>
      <c r="N10" s="20" t="n">
        <f aca="false">IF($A10="","",IFERROR(INDEX(Assessment_Results!$C$6:$C$15,MATCH($A10,Assessment_Results!$A$6:$A$15,0)),""))</f>
        <v>0.956043956043956</v>
      </c>
      <c r="O10" s="12" t="n">
        <f aca="false">IF($A10="","",IFERROR(INDEX(Assessment_Results!$E$6:$E$15,MATCH($A10,Assessment_Results!$A$6:$A$15,0)),""))</f>
        <v>0</v>
      </c>
      <c r="P10" s="23" t="n">
        <f aca="false">IF(OR($A10="",N10=""),"",ROUND(L10*(1-N10*Methodology!$B$5),1))</f>
        <v>21.2</v>
      </c>
      <c r="Q10" s="19" t="str">
        <f aca="false">IF(P10="","",INDEX(Methodology!$A$20:$A$23,MATCH(P10,Methodology!$C$20:$C$23,1)))</f>
        <v>Low</v>
      </c>
      <c r="R10" s="4" t="str">
        <f aca="false">IF($A10="","",IF(N10="","Assessment pending",IF(O10&gt;0,"Remediate critical gaps before approval",IF(Q10="Critical","Escalate: executive risk acceptance required",IF(Q10="High","Conditional approval with remediation plan",IF(Q10="Medium","Approve with standard monitoring","Approve"))))))</f>
        <v>Approve</v>
      </c>
      <c r="S10" s="4" t="str">
        <f aca="false">IF($A10="","",IF(Q10="","Pending assessment",INDEX(Approval_Workflow!$B$20:$B$23,MATCH(Q10,Approval_Workflow!$A$20:$A$23,0))))</f>
        <v>Business Owner + GRC Analyst</v>
      </c>
      <c r="T10" s="21" t="s">
        <v>41</v>
      </c>
      <c r="U10" s="24" t="n">
        <v>45782</v>
      </c>
      <c r="V10" s="12" t="n">
        <f aca="false">IF($A10="","",INDEX(Methodology!$D$20:$D$23,MATCH(M10,Methodology!$A$20:$A$23,0)))</f>
        <v>18</v>
      </c>
      <c r="W10" s="25" t="n">
        <f aca="false">IF(OR($A10="",U10=""),"",EDATE(U10,V10))</f>
        <v>46331</v>
      </c>
      <c r="X10" s="19" t="str">
        <f aca="false">IF(W10="","",IF(W10&lt;Methodology!$B$4,"Overdue",IF(W10-Methodology!$B$4&lt;=90,"Due within 90 days","On schedule")))</f>
        <v>Due within 90 days</v>
      </c>
      <c r="Y10" s="24" t="n">
        <v>46538</v>
      </c>
      <c r="Z10" s="21"/>
    </row>
    <row r="11" customFormat="false" ht="23.85" hidden="false" customHeight="false" outlineLevel="0" collapsed="false">
      <c r="A11" s="21" t="s">
        <v>102</v>
      </c>
      <c r="B11" s="21" t="s">
        <v>103</v>
      </c>
      <c r="C11" s="21" t="s">
        <v>104</v>
      </c>
      <c r="D11" s="21" t="s">
        <v>90</v>
      </c>
      <c r="E11" s="21" t="s">
        <v>105</v>
      </c>
      <c r="F11" s="22" t="n">
        <v>2</v>
      </c>
      <c r="G11" s="22" t="n">
        <v>2</v>
      </c>
      <c r="H11" s="22" t="n">
        <v>1</v>
      </c>
      <c r="I11" s="22" t="n">
        <v>2</v>
      </c>
      <c r="J11" s="22" t="n">
        <v>1</v>
      </c>
      <c r="K11" s="22" t="n">
        <v>1</v>
      </c>
      <c r="L11" s="23" t="n">
        <f aca="false">IF($A11="","",ROUND((F11*Methodology!$B$10+G11*Methodology!$B$11+H11*Methodology!$B$12+I11*Methodology!$B$13+J11*Methodology!$B$14+K11*Methodology!$B$15)/Methodology!$B$16*Methodology!$B$6,1))</f>
        <v>33</v>
      </c>
      <c r="M11" s="19" t="str">
        <f aca="false">IF($A11="","",INDEX(Methodology!$A$20:$A$23,MATCH(L11,Methodology!$B$20:$B$23,1)))</f>
        <v>Low</v>
      </c>
      <c r="N11" s="20" t="n">
        <f aca="false">IF($A11="","",IFERROR(INDEX(Assessment_Results!$C$6:$C$15,MATCH($A11,Assessment_Results!$A$6:$A$15,0)),""))</f>
        <v>0.587912087912088</v>
      </c>
      <c r="O11" s="12" t="n">
        <f aca="false">IF($A11="","",IFERROR(INDEX(Assessment_Results!$E$6:$E$15,MATCH($A11,Assessment_Results!$A$6:$A$15,0)),""))</f>
        <v>0</v>
      </c>
      <c r="P11" s="23" t="n">
        <f aca="false">IF(OR($A11="",N11=""),"",ROUND(L11*(1-N11*Methodology!$B$5),1))</f>
        <v>19.4</v>
      </c>
      <c r="Q11" s="19" t="str">
        <f aca="false">IF(P11="","",INDEX(Methodology!$A$20:$A$23,MATCH(P11,Methodology!$C$20:$C$23,1)))</f>
        <v>Low</v>
      </c>
      <c r="R11" s="4" t="str">
        <f aca="false">IF($A11="","",IF(N11="","Assessment pending",IF(O11&gt;0,"Remediate critical gaps before approval",IF(Q11="Critical","Escalate: executive risk acceptance required",IF(Q11="High","Conditional approval with remediation plan",IF(Q11="Medium","Approve with standard monitoring","Approve"))))))</f>
        <v>Approve</v>
      </c>
      <c r="S11" s="4" t="str">
        <f aca="false">IF($A11="","",IF(Q11="","Pending assessment",INDEX(Approval_Workflow!$B$20:$B$23,MATCH(Q11,Approval_Workflow!$A$20:$A$23,0))))</f>
        <v>Business Owner + GRC Analyst</v>
      </c>
      <c r="T11" s="21" t="s">
        <v>41</v>
      </c>
      <c r="U11" s="24" t="n">
        <v>45323</v>
      </c>
      <c r="V11" s="12" t="n">
        <f aca="false">IF($A11="","",INDEX(Methodology!$D$20:$D$23,MATCH(M11,Methodology!$A$20:$A$23,0)))</f>
        <v>36</v>
      </c>
      <c r="W11" s="25" t="n">
        <f aca="false">IF(OR($A11="",U11=""),"",EDATE(U11,V11))</f>
        <v>46419</v>
      </c>
      <c r="X11" s="19" t="str">
        <f aca="false">IF(W11="","",IF(W11&lt;Methodology!$B$4,"Overdue",IF(W11-Methodology!$B$4&lt;=90,"Due within 90 days","On schedule")))</f>
        <v>On schedule</v>
      </c>
      <c r="Y11" s="24" t="n">
        <v>46477</v>
      </c>
      <c r="Z11" s="21"/>
    </row>
    <row r="12" customFormat="false" ht="15" hidden="false" customHeight="false" outlineLevel="0" collapsed="false">
      <c r="A12" s="21"/>
      <c r="B12" s="21"/>
      <c r="C12" s="21"/>
      <c r="D12" s="21"/>
      <c r="E12" s="21"/>
      <c r="F12" s="22"/>
      <c r="G12" s="22"/>
      <c r="H12" s="22"/>
      <c r="I12" s="22"/>
      <c r="J12" s="22"/>
      <c r="K12" s="22"/>
      <c r="L12" s="23" t="str">
        <f aca="false">IF($A12="","",ROUND((F12*Methodology!$B$10+G12*Methodology!$B$11+H12*Methodology!$B$12+I12*Methodology!$B$13+J12*Methodology!$B$14+K12*Methodology!$B$15)/Methodology!$B$16*Methodology!$B$6,1))</f>
        <v/>
      </c>
      <c r="M12" s="19" t="str">
        <f aca="false">IF($A12="","",INDEX(Methodology!$A$20:$A$23,MATCH(L12,Methodology!$B$20:$B$23,1)))</f>
        <v/>
      </c>
      <c r="N12" s="20" t="str">
        <f aca="false">IF($A12="","",IFERROR(INDEX(Assessment_Results!$C$6:$C$15,MATCH($A12,Assessment_Results!$A$6:$A$15,0)),""))</f>
        <v/>
      </c>
      <c r="O12" s="12" t="str">
        <f aca="false">IF($A12="","",IFERROR(INDEX(Assessment_Results!$E$6:$E$15,MATCH($A12,Assessment_Results!$A$6:$A$15,0)),""))</f>
        <v/>
      </c>
      <c r="P12" s="23" t="str">
        <f aca="false">IF(OR($A12="",N12=""),"",ROUND(L12*(1-N12*Methodology!$B$5),1))</f>
        <v/>
      </c>
      <c r="Q12" s="19" t="str">
        <f aca="false">IF(P12="","",INDEX(Methodology!$A$20:$A$23,MATCH(P12,Methodology!$C$20:$C$23,1)))</f>
        <v/>
      </c>
      <c r="R12" s="4" t="str">
        <f aca="false">IF($A12="","",IF(N12="","Assessment pending",IF(O12&gt;0,"Remediate critical gaps before approval",IF(Q12="Critical","Escalate: executive risk acceptance required",IF(Q12="High","Conditional approval with remediation plan",IF(Q12="Medium","Approve with standard monitoring","Approve"))))))</f>
        <v/>
      </c>
      <c r="S12" s="4" t="str">
        <f aca="false">IF($A12="","",IF(Q12="","Pending assessment",INDEX(Approval_Workflow!$B$20:$B$23,MATCH(Q12,Approval_Workflow!$A$20:$A$23,0))))</f>
        <v/>
      </c>
      <c r="T12" s="21"/>
      <c r="U12" s="24"/>
      <c r="V12" s="12" t="str">
        <f aca="false">IF($A12="","",INDEX(Methodology!$D$20:$D$23,MATCH(M12,Methodology!$A$20:$A$23,0)))</f>
        <v/>
      </c>
      <c r="W12" s="25" t="str">
        <f aca="false">IF(OR($A12="",U12=""),"",EDATE(U12,V12))</f>
        <v/>
      </c>
      <c r="X12" s="19" t="str">
        <f aca="false">IF(W12="","",IF(W12&lt;Methodology!$B$4,"Overdue",IF(W12-Methodology!$B$4&lt;=90,"Due within 90 days","On schedule")))</f>
        <v/>
      </c>
      <c r="Y12" s="24"/>
      <c r="Z12" s="21"/>
    </row>
    <row r="13" customFormat="false" ht="15" hidden="false" customHeight="false" outlineLevel="0" collapsed="false">
      <c r="A13" s="21"/>
      <c r="B13" s="21"/>
      <c r="C13" s="21"/>
      <c r="D13" s="21"/>
      <c r="E13" s="21"/>
      <c r="F13" s="22"/>
      <c r="G13" s="22"/>
      <c r="H13" s="22"/>
      <c r="I13" s="22"/>
      <c r="J13" s="22"/>
      <c r="K13" s="22"/>
      <c r="L13" s="23" t="str">
        <f aca="false">IF($A13="","",ROUND((F13*Methodology!$B$10+G13*Methodology!$B$11+H13*Methodology!$B$12+I13*Methodology!$B$13+J13*Methodology!$B$14+K13*Methodology!$B$15)/Methodology!$B$16*Methodology!$B$6,1))</f>
        <v/>
      </c>
      <c r="M13" s="19" t="str">
        <f aca="false">IF($A13="","",INDEX(Methodology!$A$20:$A$23,MATCH(L13,Methodology!$B$20:$B$23,1)))</f>
        <v/>
      </c>
      <c r="N13" s="20" t="str">
        <f aca="false">IF($A13="","",IFERROR(INDEX(Assessment_Results!$C$6:$C$15,MATCH($A13,Assessment_Results!$A$6:$A$15,0)),""))</f>
        <v/>
      </c>
      <c r="O13" s="12" t="str">
        <f aca="false">IF($A13="","",IFERROR(INDEX(Assessment_Results!$E$6:$E$15,MATCH($A13,Assessment_Results!$A$6:$A$15,0)),""))</f>
        <v/>
      </c>
      <c r="P13" s="23" t="str">
        <f aca="false">IF(OR($A13="",N13=""),"",ROUND(L13*(1-N13*Methodology!$B$5),1))</f>
        <v/>
      </c>
      <c r="Q13" s="19" t="str">
        <f aca="false">IF(P13="","",INDEX(Methodology!$A$20:$A$23,MATCH(P13,Methodology!$C$20:$C$23,1)))</f>
        <v/>
      </c>
      <c r="R13" s="4" t="str">
        <f aca="false">IF($A13="","",IF(N13="","Assessment pending",IF(O13&gt;0,"Remediate critical gaps before approval",IF(Q13="Critical","Escalate: executive risk acceptance required",IF(Q13="High","Conditional approval with remediation plan",IF(Q13="Medium","Approve with standard monitoring","Approve"))))))</f>
        <v/>
      </c>
      <c r="S13" s="4" t="str">
        <f aca="false">IF($A13="","",IF(Q13="","Pending assessment",INDEX(Approval_Workflow!$B$20:$B$23,MATCH(Q13,Approval_Workflow!$A$20:$A$23,0))))</f>
        <v/>
      </c>
      <c r="T13" s="21"/>
      <c r="U13" s="24"/>
      <c r="V13" s="12" t="str">
        <f aca="false">IF($A13="","",INDEX(Methodology!$D$20:$D$23,MATCH(M13,Methodology!$A$20:$A$23,0)))</f>
        <v/>
      </c>
      <c r="W13" s="25" t="str">
        <f aca="false">IF(OR($A13="",U13=""),"",EDATE(U13,V13))</f>
        <v/>
      </c>
      <c r="X13" s="19" t="str">
        <f aca="false">IF(W13="","",IF(W13&lt;Methodology!$B$4,"Overdue",IF(W13-Methodology!$B$4&lt;=90,"Due within 90 days","On schedule")))</f>
        <v/>
      </c>
      <c r="Y13" s="24"/>
      <c r="Z13" s="21"/>
    </row>
    <row r="14" customFormat="false" ht="15" hidden="false" customHeight="false" outlineLevel="0" collapsed="false">
      <c r="A14" s="21"/>
      <c r="B14" s="21"/>
      <c r="C14" s="21"/>
      <c r="D14" s="21"/>
      <c r="E14" s="21"/>
      <c r="F14" s="22"/>
      <c r="G14" s="22"/>
      <c r="H14" s="22"/>
      <c r="I14" s="22"/>
      <c r="J14" s="22"/>
      <c r="K14" s="22"/>
      <c r="L14" s="23" t="str">
        <f aca="false">IF($A14="","",ROUND((F14*Methodology!$B$10+G14*Methodology!$B$11+H14*Methodology!$B$12+I14*Methodology!$B$13+J14*Methodology!$B$14+K14*Methodology!$B$15)/Methodology!$B$16*Methodology!$B$6,1))</f>
        <v/>
      </c>
      <c r="M14" s="19" t="str">
        <f aca="false">IF($A14="","",INDEX(Methodology!$A$20:$A$23,MATCH(L14,Methodology!$B$20:$B$23,1)))</f>
        <v/>
      </c>
      <c r="N14" s="20" t="str">
        <f aca="false">IF($A14="","",IFERROR(INDEX(Assessment_Results!$C$6:$C$15,MATCH($A14,Assessment_Results!$A$6:$A$15,0)),""))</f>
        <v/>
      </c>
      <c r="O14" s="12" t="str">
        <f aca="false">IF($A14="","",IFERROR(INDEX(Assessment_Results!$E$6:$E$15,MATCH($A14,Assessment_Results!$A$6:$A$15,0)),""))</f>
        <v/>
      </c>
      <c r="P14" s="23" t="str">
        <f aca="false">IF(OR($A14="",N14=""),"",ROUND(L14*(1-N14*Methodology!$B$5),1))</f>
        <v/>
      </c>
      <c r="Q14" s="19" t="str">
        <f aca="false">IF(P14="","",INDEX(Methodology!$A$20:$A$23,MATCH(P14,Methodology!$C$20:$C$23,1)))</f>
        <v/>
      </c>
      <c r="R14" s="4" t="str">
        <f aca="false">IF($A14="","",IF(N14="","Assessment pending",IF(O14&gt;0,"Remediate critical gaps before approval",IF(Q14="Critical","Escalate: executive risk acceptance required",IF(Q14="High","Conditional approval with remediation plan",IF(Q14="Medium","Approve with standard monitoring","Approve"))))))</f>
        <v/>
      </c>
      <c r="S14" s="4" t="str">
        <f aca="false">IF($A14="","",IF(Q14="","Pending assessment",INDEX(Approval_Workflow!$B$20:$B$23,MATCH(Q14,Approval_Workflow!$A$20:$A$23,0))))</f>
        <v/>
      </c>
      <c r="T14" s="21"/>
      <c r="U14" s="24"/>
      <c r="V14" s="12" t="str">
        <f aca="false">IF($A14="","",INDEX(Methodology!$D$20:$D$23,MATCH(M14,Methodology!$A$20:$A$23,0)))</f>
        <v/>
      </c>
      <c r="W14" s="25" t="str">
        <f aca="false">IF(OR($A14="",U14=""),"",EDATE(U14,V14))</f>
        <v/>
      </c>
      <c r="X14" s="19" t="str">
        <f aca="false">IF(W14="","",IF(W14&lt;Methodology!$B$4,"Overdue",IF(W14-Methodology!$B$4&lt;=90,"Due within 90 days","On schedule")))</f>
        <v/>
      </c>
      <c r="Y14" s="24"/>
      <c r="Z14" s="21"/>
    </row>
    <row r="15" customFormat="false" ht="15" hidden="false" customHeight="false" outlineLevel="0" collapsed="false">
      <c r="A15" s="21"/>
      <c r="B15" s="21"/>
      <c r="C15" s="21"/>
      <c r="D15" s="21"/>
      <c r="E15" s="21"/>
      <c r="F15" s="22"/>
      <c r="G15" s="22"/>
      <c r="H15" s="22"/>
      <c r="I15" s="22"/>
      <c r="J15" s="22"/>
      <c r="K15" s="22"/>
      <c r="L15" s="23" t="str">
        <f aca="false">IF($A15="","",ROUND((F15*Methodology!$B$10+G15*Methodology!$B$11+H15*Methodology!$B$12+I15*Methodology!$B$13+J15*Methodology!$B$14+K15*Methodology!$B$15)/Methodology!$B$16*Methodology!$B$6,1))</f>
        <v/>
      </c>
      <c r="M15" s="19" t="str">
        <f aca="false">IF($A15="","",INDEX(Methodology!$A$20:$A$23,MATCH(L15,Methodology!$B$20:$B$23,1)))</f>
        <v/>
      </c>
      <c r="N15" s="20" t="str">
        <f aca="false">IF($A15="","",IFERROR(INDEX(Assessment_Results!$C$6:$C$15,MATCH($A15,Assessment_Results!$A$6:$A$15,0)),""))</f>
        <v/>
      </c>
      <c r="O15" s="12" t="str">
        <f aca="false">IF($A15="","",IFERROR(INDEX(Assessment_Results!$E$6:$E$15,MATCH($A15,Assessment_Results!$A$6:$A$15,0)),""))</f>
        <v/>
      </c>
      <c r="P15" s="23" t="str">
        <f aca="false">IF(OR($A15="",N15=""),"",ROUND(L15*(1-N15*Methodology!$B$5),1))</f>
        <v/>
      </c>
      <c r="Q15" s="19" t="str">
        <f aca="false">IF(P15="","",INDEX(Methodology!$A$20:$A$23,MATCH(P15,Methodology!$C$20:$C$23,1)))</f>
        <v/>
      </c>
      <c r="R15" s="4" t="str">
        <f aca="false">IF($A15="","",IF(N15="","Assessment pending",IF(O15&gt;0,"Remediate critical gaps before approval",IF(Q15="Critical","Escalate: executive risk acceptance required",IF(Q15="High","Conditional approval with remediation plan",IF(Q15="Medium","Approve with standard monitoring","Approve"))))))</f>
        <v/>
      </c>
      <c r="S15" s="4" t="str">
        <f aca="false">IF($A15="","",IF(Q15="","Pending assessment",INDEX(Approval_Workflow!$B$20:$B$23,MATCH(Q15,Approval_Workflow!$A$20:$A$23,0))))</f>
        <v/>
      </c>
      <c r="T15" s="21"/>
      <c r="U15" s="24"/>
      <c r="V15" s="12" t="str">
        <f aca="false">IF($A15="","",INDEX(Methodology!$D$20:$D$23,MATCH(M15,Methodology!$A$20:$A$23,0)))</f>
        <v/>
      </c>
      <c r="W15" s="25" t="str">
        <f aca="false">IF(OR($A15="",U15=""),"",EDATE(U15,V15))</f>
        <v/>
      </c>
      <c r="X15" s="19" t="str">
        <f aca="false">IF(W15="","",IF(W15&lt;Methodology!$B$4,"Overdue",IF(W15-Methodology!$B$4&lt;=90,"Due within 90 days","On schedule")))</f>
        <v/>
      </c>
      <c r="Y15" s="24"/>
      <c r="Z15" s="21"/>
    </row>
    <row r="17" customFormat="false" ht="15" hidden="false" customHeight="false" outlineLevel="0" collapsed="false">
      <c r="A17" s="2" t="s">
        <v>106</v>
      </c>
    </row>
  </sheetData>
  <conditionalFormatting sqref="M6:M15">
    <cfRule type="cellIs" priority="2" operator="equal" aboveAverage="0" equalAverage="0" bottom="0" percent="0" rank="0" text="" dxfId="0">
      <formula>"Critical"</formula>
    </cfRule>
    <cfRule type="cellIs" priority="3" operator="equal" aboveAverage="0" equalAverage="0" bottom="0" percent="0" rank="0" text="" dxfId="1">
      <formula>"High"</formula>
    </cfRule>
    <cfRule type="cellIs" priority="4" operator="equal" aboveAverage="0" equalAverage="0" bottom="0" percent="0" rank="0" text="" dxfId="2">
      <formula>"Medium"</formula>
    </cfRule>
    <cfRule type="cellIs" priority="5" operator="equal" aboveAverage="0" equalAverage="0" bottom="0" percent="0" rank="0" text="" dxfId="3">
      <formula>"Low"</formula>
    </cfRule>
  </conditionalFormatting>
  <conditionalFormatting sqref="Q6:Q15">
    <cfRule type="cellIs" priority="6" operator="equal" aboveAverage="0" equalAverage="0" bottom="0" percent="0" rank="0" text="" dxfId="0">
      <formula>"Critical"</formula>
    </cfRule>
    <cfRule type="cellIs" priority="7" operator="equal" aboveAverage="0" equalAverage="0" bottom="0" percent="0" rank="0" text="" dxfId="1">
      <formula>"High"</formula>
    </cfRule>
    <cfRule type="cellIs" priority="8" operator="equal" aboveAverage="0" equalAverage="0" bottom="0" percent="0" rank="0" text="" dxfId="2">
      <formula>"Medium"</formula>
    </cfRule>
    <cfRule type="cellIs" priority="9" operator="equal" aboveAverage="0" equalAverage="0" bottom="0" percent="0" rank="0" text="" dxfId="3">
      <formula>"Low"</formula>
    </cfRule>
  </conditionalFormatting>
  <conditionalFormatting sqref="X6:X15">
    <cfRule type="cellIs" priority="10" operator="equal" aboveAverage="0" equalAverage="0" bottom="0" percent="0" rank="0" text="" dxfId="4">
      <formula>"Overdue"</formula>
    </cfRule>
    <cfRule type="cellIs" priority="11" operator="equal" aboveAverage="0" equalAverage="0" bottom="0" percent="0" rank="0" text="" dxfId="5">
      <formula>"Due within 90 days"</formula>
    </cfRule>
    <cfRule type="cellIs" priority="12" operator="equal" aboveAverage="0" equalAverage="0" bottom="0" percent="0" rank="0" text="" dxfId="6">
      <formula>"On schedule"</formula>
    </cfRule>
  </conditionalFormatting>
  <conditionalFormatting sqref="O6:O15">
    <cfRule type="cellIs" priority="13" operator="greaterThan" aboveAverage="0" equalAverage="0" bottom="0" percent="0" rank="0" text="" dxfId="0">
      <formula>0</formula>
    </cfRule>
  </conditionalFormatting>
  <dataValidations count="3">
    <dataValidation allowBlank="true" error="Enter a whole number from 1 to 5." errorStyle="stop" errorTitle="Invalid score" operator="between" showDropDown="false" showErrorMessage="false" showInputMessage="false" sqref="F6:K15" type="whole">
      <formula1>1</formula1>
      <formula2>5</formula2>
    </dataValidation>
    <dataValidation allowBlank="true" error="Please choose a value from the list." errorStyle="stop" errorTitle="Invalid entry" operator="between" showDropDown="false" showErrorMessage="false" showInputMessage="false" sqref="D6:D15" type="list">
      <formula1>"Cloud Infrastructure (IaaS/PaaS),SaaS Application,AI/ML Software,Managed Service,Other"</formula1>
      <formula2>0</formula2>
    </dataValidation>
    <dataValidation allowBlank="true" error="Please choose a value from the list." errorStyle="stop" errorTitle="Invalid entry" operator="between" showDropDown="false" showErrorMessage="false" showInputMessage="false" sqref="T6:T15" type="list">
      <formula1>"Prospective,Under Review,Approved,Conditionally Approved,Rejected,Offboarded"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true"/>
  </sheetPr>
  <dimension ref="A1:G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5" min="3" style="0" width="30"/>
    <col collapsed="false" customWidth="true" hidden="false" outlineLevel="0" max="6" min="6" style="0" width="32"/>
    <col collapsed="false" customWidth="true" hidden="false" outlineLevel="0" max="7" min="7" style="0" width="36"/>
  </cols>
  <sheetData>
    <row r="1" customFormat="false" ht="19.7" hidden="false" customHeight="false" outlineLevel="0" collapsed="false">
      <c r="A1" s="1" t="s">
        <v>107</v>
      </c>
    </row>
    <row r="2" customFormat="false" ht="15" hidden="false" customHeight="false" outlineLevel="0" collapsed="false">
      <c r="A2" s="2" t="s">
        <v>108</v>
      </c>
    </row>
    <row r="3" customFormat="false" ht="15" hidden="false" customHeight="false" outlineLevel="0" collapsed="false">
      <c r="A3" s="5" t="s">
        <v>109</v>
      </c>
      <c r="B3" s="6"/>
      <c r="C3" s="6"/>
      <c r="D3" s="6"/>
      <c r="E3" s="6"/>
      <c r="F3" s="6"/>
      <c r="G3" s="6"/>
    </row>
    <row r="4" customFormat="false" ht="15" hidden="false" customHeight="true" outlineLevel="0" collapsed="false">
      <c r="A4" s="4" t="s">
        <v>110</v>
      </c>
      <c r="B4" s="24" t="n">
        <v>46320</v>
      </c>
      <c r="C4" s="4" t="s">
        <v>111</v>
      </c>
      <c r="D4" s="4"/>
      <c r="E4" s="4"/>
      <c r="F4" s="4"/>
      <c r="G4" s="4"/>
    </row>
    <row r="5" customFormat="false" ht="15" hidden="false" customHeight="true" outlineLevel="0" collapsed="false">
      <c r="A5" s="4" t="s">
        <v>112</v>
      </c>
      <c r="B5" s="26" t="n">
        <v>0.7</v>
      </c>
      <c r="C5" s="4" t="s">
        <v>113</v>
      </c>
      <c r="D5" s="4"/>
      <c r="E5" s="4"/>
      <c r="F5" s="4"/>
      <c r="G5" s="4"/>
    </row>
    <row r="6" customFormat="false" ht="15" hidden="false" customHeight="true" outlineLevel="0" collapsed="false">
      <c r="A6" s="4" t="s">
        <v>114</v>
      </c>
      <c r="B6" s="27" t="n">
        <v>20</v>
      </c>
      <c r="C6" s="4" t="s">
        <v>115</v>
      </c>
      <c r="D6" s="4"/>
      <c r="E6" s="4"/>
      <c r="F6" s="4"/>
      <c r="G6" s="4"/>
    </row>
    <row r="8" customFormat="false" ht="15" hidden="false" customHeight="false" outlineLevel="0" collapsed="false">
      <c r="A8" s="5" t="s">
        <v>116</v>
      </c>
      <c r="B8" s="6"/>
      <c r="C8" s="6"/>
      <c r="D8" s="6"/>
      <c r="E8" s="6"/>
      <c r="F8" s="6"/>
      <c r="G8" s="6"/>
    </row>
    <row r="9" customFormat="false" ht="31.5" hidden="false" customHeight="true" outlineLevel="0" collapsed="false">
      <c r="A9" s="10" t="s">
        <v>117</v>
      </c>
      <c r="B9" s="10" t="s">
        <v>118</v>
      </c>
      <c r="C9" s="10" t="s">
        <v>119</v>
      </c>
      <c r="D9" s="10" t="s">
        <v>120</v>
      </c>
      <c r="E9" s="10" t="s">
        <v>121</v>
      </c>
      <c r="F9" s="10" t="s">
        <v>122</v>
      </c>
      <c r="G9" s="10" t="s">
        <v>123</v>
      </c>
    </row>
    <row r="10" customFormat="false" ht="66" hidden="false" customHeight="true" outlineLevel="0" collapsed="false">
      <c r="A10" s="4" t="s">
        <v>124</v>
      </c>
      <c r="B10" s="26" t="n">
        <v>0.3</v>
      </c>
      <c r="C10" s="4" t="s">
        <v>125</v>
      </c>
      <c r="D10" s="4" t="s">
        <v>126</v>
      </c>
      <c r="E10" s="4" t="s">
        <v>127</v>
      </c>
      <c r="F10" s="4" t="s">
        <v>128</v>
      </c>
      <c r="G10" s="4" t="s">
        <v>129</v>
      </c>
    </row>
    <row r="11" customFormat="false" ht="66" hidden="false" customHeight="true" outlineLevel="0" collapsed="false">
      <c r="A11" s="4" t="s">
        <v>130</v>
      </c>
      <c r="B11" s="26" t="n">
        <v>0.25</v>
      </c>
      <c r="C11" s="4" t="s">
        <v>131</v>
      </c>
      <c r="D11" s="4" t="s">
        <v>132</v>
      </c>
      <c r="E11" s="4" t="s">
        <v>133</v>
      </c>
      <c r="F11" s="4" t="s">
        <v>134</v>
      </c>
      <c r="G11" s="4" t="s">
        <v>135</v>
      </c>
    </row>
    <row r="12" customFormat="false" ht="66" hidden="false" customHeight="true" outlineLevel="0" collapsed="false">
      <c r="A12" s="4" t="s">
        <v>136</v>
      </c>
      <c r="B12" s="26" t="n">
        <v>0.15</v>
      </c>
      <c r="C12" s="4" t="s">
        <v>137</v>
      </c>
      <c r="D12" s="4" t="s">
        <v>138</v>
      </c>
      <c r="E12" s="4" t="s">
        <v>139</v>
      </c>
      <c r="F12" s="4" t="s">
        <v>140</v>
      </c>
      <c r="G12" s="4" t="s">
        <v>141</v>
      </c>
    </row>
    <row r="13" customFormat="false" ht="66" hidden="false" customHeight="true" outlineLevel="0" collapsed="false">
      <c r="A13" s="4" t="s">
        <v>142</v>
      </c>
      <c r="B13" s="26" t="n">
        <v>0.1</v>
      </c>
      <c r="C13" s="4" t="s">
        <v>143</v>
      </c>
      <c r="D13" s="4" t="s">
        <v>144</v>
      </c>
      <c r="E13" s="4" t="s">
        <v>145</v>
      </c>
      <c r="F13" s="4" t="s">
        <v>146</v>
      </c>
      <c r="G13" s="4" t="s">
        <v>147</v>
      </c>
    </row>
    <row r="14" customFormat="false" ht="66" hidden="false" customHeight="true" outlineLevel="0" collapsed="false">
      <c r="A14" s="4" t="s">
        <v>148</v>
      </c>
      <c r="B14" s="26" t="n">
        <v>0.1</v>
      </c>
      <c r="C14" s="4" t="s">
        <v>149</v>
      </c>
      <c r="D14" s="4" t="s">
        <v>150</v>
      </c>
      <c r="E14" s="4" t="s">
        <v>151</v>
      </c>
      <c r="F14" s="4" t="s">
        <v>152</v>
      </c>
      <c r="G14" s="4" t="s">
        <v>153</v>
      </c>
    </row>
    <row r="15" customFormat="false" ht="66" hidden="false" customHeight="true" outlineLevel="0" collapsed="false">
      <c r="A15" s="4" t="s">
        <v>154</v>
      </c>
      <c r="B15" s="26" t="n">
        <v>0.1</v>
      </c>
      <c r="C15" s="4" t="s">
        <v>155</v>
      </c>
      <c r="D15" s="4" t="s">
        <v>156</v>
      </c>
      <c r="E15" s="4" t="s">
        <v>157</v>
      </c>
      <c r="F15" s="4" t="s">
        <v>158</v>
      </c>
      <c r="G15" s="4" t="s">
        <v>159</v>
      </c>
    </row>
    <row r="16" customFormat="false" ht="15" hidden="false" customHeight="false" outlineLevel="0" collapsed="false">
      <c r="A16" s="11" t="s">
        <v>160</v>
      </c>
      <c r="B16" s="28" t="n">
        <f aca="false">SUM(B10:B15)</f>
        <v>1</v>
      </c>
      <c r="C16" s="4" t="str">
        <f aca="false">IF(ROUND(B16,4)=1,"OK","ERROR: weights must total 100%")</f>
        <v>OK</v>
      </c>
    </row>
    <row r="18" customFormat="false" ht="15" hidden="false" customHeight="false" outlineLevel="0" collapsed="false">
      <c r="A18" s="5" t="s">
        <v>161</v>
      </c>
      <c r="B18" s="6"/>
      <c r="C18" s="6"/>
      <c r="D18" s="6"/>
      <c r="E18" s="6"/>
      <c r="F18" s="6"/>
      <c r="G18" s="6"/>
    </row>
    <row r="19" customFormat="false" ht="31.5" hidden="false" customHeight="true" outlineLevel="0" collapsed="false">
      <c r="A19" s="10" t="s">
        <v>29</v>
      </c>
      <c r="B19" s="10" t="s">
        <v>162</v>
      </c>
      <c r="C19" s="10" t="s">
        <v>163</v>
      </c>
      <c r="D19" s="10" t="s">
        <v>164</v>
      </c>
      <c r="E19" s="10" t="s">
        <v>165</v>
      </c>
      <c r="F19" s="10" t="s">
        <v>166</v>
      </c>
    </row>
    <row r="20" customFormat="false" ht="43.5" hidden="false" customHeight="true" outlineLevel="0" collapsed="false">
      <c r="A20" s="29" t="s">
        <v>32</v>
      </c>
      <c r="B20" s="22" t="n">
        <v>0</v>
      </c>
      <c r="C20" s="22" t="n">
        <v>0</v>
      </c>
      <c r="D20" s="22" t="n">
        <v>36</v>
      </c>
      <c r="E20" s="22" t="n">
        <v>0</v>
      </c>
      <c r="F20" s="4" t="s">
        <v>167</v>
      </c>
    </row>
    <row r="21" customFormat="false" ht="43.5" hidden="false" customHeight="true" outlineLevel="0" collapsed="false">
      <c r="A21" s="29" t="s">
        <v>33</v>
      </c>
      <c r="B21" s="22" t="n">
        <v>40</v>
      </c>
      <c r="C21" s="22" t="n">
        <v>25</v>
      </c>
      <c r="D21" s="22" t="n">
        <v>24</v>
      </c>
      <c r="E21" s="22" t="n">
        <v>12</v>
      </c>
      <c r="F21" s="4" t="s">
        <v>168</v>
      </c>
    </row>
    <row r="22" customFormat="false" ht="43.5" hidden="false" customHeight="true" outlineLevel="0" collapsed="false">
      <c r="A22" s="29" t="s">
        <v>34</v>
      </c>
      <c r="B22" s="22" t="n">
        <v>60</v>
      </c>
      <c r="C22" s="22" t="n">
        <v>40</v>
      </c>
      <c r="D22" s="22" t="n">
        <v>18</v>
      </c>
      <c r="E22" s="22" t="n">
        <v>6</v>
      </c>
      <c r="F22" s="4" t="s">
        <v>169</v>
      </c>
    </row>
    <row r="23" customFormat="false" ht="43.5" hidden="false" customHeight="true" outlineLevel="0" collapsed="false">
      <c r="A23" s="29" t="s">
        <v>35</v>
      </c>
      <c r="B23" s="22" t="n">
        <v>80</v>
      </c>
      <c r="C23" s="22" t="n">
        <v>60</v>
      </c>
      <c r="D23" s="22" t="n">
        <v>12</v>
      </c>
      <c r="E23" s="22" t="n">
        <v>3</v>
      </c>
      <c r="F23" s="4" t="s">
        <v>170</v>
      </c>
    </row>
    <row r="24" customFormat="false" ht="15" hidden="false" customHeight="false" outlineLevel="0" collapsed="false">
      <c r="A24" s="2" t="s">
        <v>171</v>
      </c>
    </row>
    <row r="25" customFormat="false" ht="15" hidden="false" customHeight="false" outlineLevel="0" collapsed="false">
      <c r="A25" s="5" t="s">
        <v>172</v>
      </c>
      <c r="B25" s="6"/>
      <c r="C25" s="6"/>
      <c r="D25" s="6"/>
      <c r="E25" s="6"/>
      <c r="F25" s="6"/>
      <c r="G25" s="6"/>
    </row>
    <row r="26" customFormat="false" ht="21.75" hidden="false" customHeight="true" outlineLevel="0" collapsed="false">
      <c r="A26" s="10" t="s">
        <v>173</v>
      </c>
      <c r="B26" s="10" t="s">
        <v>174</v>
      </c>
      <c r="C26" s="10" t="s">
        <v>175</v>
      </c>
    </row>
    <row r="27" customFormat="false" ht="15" hidden="false" customHeight="true" outlineLevel="0" collapsed="false">
      <c r="A27" s="4" t="s">
        <v>176</v>
      </c>
      <c r="B27" s="30" t="n">
        <v>1</v>
      </c>
      <c r="C27" s="4" t="s">
        <v>177</v>
      </c>
      <c r="D27" s="4"/>
      <c r="E27" s="4"/>
      <c r="F27" s="4"/>
      <c r="G27" s="4"/>
    </row>
    <row r="28" customFormat="false" ht="15" hidden="false" customHeight="true" outlineLevel="0" collapsed="false">
      <c r="A28" s="4" t="s">
        <v>178</v>
      </c>
      <c r="B28" s="30" t="n">
        <v>0.5</v>
      </c>
      <c r="C28" s="4" t="s">
        <v>179</v>
      </c>
      <c r="D28" s="4"/>
      <c r="E28" s="4"/>
      <c r="F28" s="4"/>
      <c r="G28" s="4"/>
    </row>
    <row r="29" customFormat="false" ht="15" hidden="false" customHeight="true" outlineLevel="0" collapsed="false">
      <c r="A29" s="4" t="s">
        <v>180</v>
      </c>
      <c r="B29" s="30" t="n">
        <v>0</v>
      </c>
      <c r="C29" s="4" t="s">
        <v>181</v>
      </c>
      <c r="D29" s="4"/>
      <c r="E29" s="4"/>
      <c r="F29" s="4"/>
      <c r="G29" s="4"/>
    </row>
    <row r="30" customFormat="false" ht="15" hidden="false" customHeight="true" outlineLevel="0" collapsed="false">
      <c r="A30" s="4" t="s">
        <v>182</v>
      </c>
      <c r="B30" s="23" t="s">
        <v>183</v>
      </c>
      <c r="C30" s="4" t="s">
        <v>184</v>
      </c>
      <c r="D30" s="4"/>
      <c r="E30" s="4"/>
      <c r="F30" s="4"/>
      <c r="G30" s="4"/>
    </row>
    <row r="32" customFormat="false" ht="15" hidden="false" customHeight="false" outlineLevel="0" collapsed="false">
      <c r="A32" s="5" t="s">
        <v>185</v>
      </c>
      <c r="B32" s="6"/>
      <c r="C32" s="6"/>
      <c r="D32" s="6"/>
      <c r="E32" s="6"/>
      <c r="F32" s="6"/>
      <c r="G32" s="6"/>
    </row>
    <row r="33" customFormat="false" ht="27.75" hidden="false" customHeight="true" outlineLevel="0" collapsed="false">
      <c r="A33" s="31" t="s">
        <v>186</v>
      </c>
      <c r="B33" s="31"/>
      <c r="C33" s="31"/>
      <c r="D33" s="31"/>
      <c r="E33" s="31"/>
      <c r="F33" s="31"/>
      <c r="G33" s="31"/>
    </row>
    <row r="34" customFormat="false" ht="27.75" hidden="false" customHeight="true" outlineLevel="0" collapsed="false">
      <c r="A34" s="31" t="s">
        <v>187</v>
      </c>
      <c r="B34" s="31"/>
      <c r="C34" s="31"/>
      <c r="D34" s="31"/>
      <c r="E34" s="31"/>
      <c r="F34" s="31"/>
      <c r="G34" s="31"/>
    </row>
    <row r="35" customFormat="false" ht="27.75" hidden="false" customHeight="true" outlineLevel="0" collapsed="false">
      <c r="A35" s="31" t="s">
        <v>188</v>
      </c>
      <c r="B35" s="31"/>
      <c r="C35" s="31"/>
      <c r="D35" s="31"/>
      <c r="E35" s="31"/>
      <c r="F35" s="31"/>
      <c r="G35" s="31"/>
    </row>
    <row r="36" customFormat="false" ht="27.75" hidden="false" customHeight="true" outlineLevel="0" collapsed="false">
      <c r="A36" s="31" t="s">
        <v>189</v>
      </c>
      <c r="B36" s="31"/>
      <c r="C36" s="31"/>
      <c r="D36" s="31"/>
      <c r="E36" s="31"/>
      <c r="F36" s="31"/>
      <c r="G36" s="31"/>
    </row>
    <row r="37" customFormat="false" ht="27.75" hidden="false" customHeight="true" outlineLevel="0" collapsed="false">
      <c r="A37" s="31" t="s">
        <v>190</v>
      </c>
      <c r="B37" s="31"/>
      <c r="C37" s="31"/>
      <c r="D37" s="31"/>
      <c r="E37" s="31"/>
      <c r="F37" s="31"/>
      <c r="G37" s="31"/>
    </row>
    <row r="39" customFormat="false" ht="15" hidden="false" customHeight="false" outlineLevel="0" collapsed="false">
      <c r="A39" s="5" t="s">
        <v>191</v>
      </c>
      <c r="B39" s="6"/>
      <c r="C39" s="6"/>
      <c r="D39" s="6"/>
      <c r="E39" s="6"/>
      <c r="F39" s="6"/>
      <c r="G39" s="6"/>
    </row>
    <row r="40" customFormat="false" ht="21.75" hidden="false" customHeight="true" outlineLevel="0" collapsed="false">
      <c r="A40" s="10" t="s">
        <v>192</v>
      </c>
      <c r="B40" s="10" t="s">
        <v>193</v>
      </c>
      <c r="C40" s="10" t="s">
        <v>194</v>
      </c>
    </row>
    <row r="41" customFormat="false" ht="15" hidden="false" customHeight="true" outlineLevel="0" collapsed="false">
      <c r="A41" s="12" t="n">
        <v>1</v>
      </c>
      <c r="B41" s="4" t="s">
        <v>195</v>
      </c>
      <c r="C41" s="4" t="s">
        <v>196</v>
      </c>
      <c r="D41" s="4"/>
      <c r="E41" s="4"/>
      <c r="F41" s="4"/>
      <c r="G41" s="4"/>
    </row>
    <row r="42" customFormat="false" ht="15" hidden="false" customHeight="true" outlineLevel="0" collapsed="false">
      <c r="A42" s="12" t="n">
        <v>2</v>
      </c>
      <c r="B42" s="4" t="s">
        <v>197</v>
      </c>
      <c r="C42" s="4" t="s">
        <v>198</v>
      </c>
      <c r="D42" s="4"/>
      <c r="E42" s="4"/>
      <c r="F42" s="4"/>
      <c r="G42" s="4"/>
    </row>
    <row r="43" customFormat="false" ht="15" hidden="false" customHeight="true" outlineLevel="0" collapsed="false">
      <c r="A43" s="12" t="n">
        <v>3</v>
      </c>
      <c r="B43" s="4" t="s">
        <v>199</v>
      </c>
      <c r="C43" s="4" t="s">
        <v>200</v>
      </c>
      <c r="D43" s="4"/>
      <c r="E43" s="4"/>
      <c r="F43" s="4"/>
      <c r="G43" s="4"/>
    </row>
    <row r="44" customFormat="false" ht="15" hidden="false" customHeight="true" outlineLevel="0" collapsed="false">
      <c r="A44" s="12" t="n">
        <v>4</v>
      </c>
      <c r="B44" s="4" t="s">
        <v>201</v>
      </c>
      <c r="C44" s="4" t="s">
        <v>202</v>
      </c>
      <c r="D44" s="4"/>
      <c r="E44" s="4"/>
      <c r="F44" s="4"/>
      <c r="G44" s="4"/>
    </row>
    <row r="45" customFormat="false" ht="15" hidden="false" customHeight="true" outlineLevel="0" collapsed="false">
      <c r="A45" s="12" t="n">
        <v>5</v>
      </c>
      <c r="B45" s="4" t="s">
        <v>203</v>
      </c>
      <c r="C45" s="4" t="s">
        <v>204</v>
      </c>
      <c r="D45" s="4"/>
      <c r="E45" s="4"/>
      <c r="F45" s="4"/>
      <c r="G45" s="4"/>
    </row>
    <row r="47" customFormat="false" ht="21.75" hidden="false" customHeight="true" outlineLevel="0" collapsed="false">
      <c r="A47" s="10" t="s">
        <v>192</v>
      </c>
      <c r="B47" s="10" t="s">
        <v>205</v>
      </c>
      <c r="C47" s="10" t="s">
        <v>206</v>
      </c>
    </row>
    <row r="48" customFormat="false" ht="15" hidden="false" customHeight="true" outlineLevel="0" collapsed="false">
      <c r="A48" s="12" t="n">
        <v>1</v>
      </c>
      <c r="B48" s="4" t="s">
        <v>207</v>
      </c>
      <c r="C48" s="4" t="s">
        <v>208</v>
      </c>
      <c r="D48" s="4"/>
      <c r="E48" s="4"/>
      <c r="F48" s="4"/>
      <c r="G48" s="4"/>
    </row>
    <row r="49" customFormat="false" ht="15" hidden="false" customHeight="true" outlineLevel="0" collapsed="false">
      <c r="A49" s="12" t="n">
        <v>2</v>
      </c>
      <c r="B49" s="4" t="s">
        <v>209</v>
      </c>
      <c r="C49" s="4" t="s">
        <v>210</v>
      </c>
      <c r="D49" s="4"/>
      <c r="E49" s="4"/>
      <c r="F49" s="4"/>
      <c r="G49" s="4"/>
    </row>
    <row r="50" customFormat="false" ht="15" hidden="false" customHeight="true" outlineLevel="0" collapsed="false">
      <c r="A50" s="12" t="n">
        <v>3</v>
      </c>
      <c r="B50" s="4" t="s">
        <v>211</v>
      </c>
      <c r="C50" s="4" t="s">
        <v>212</v>
      </c>
      <c r="D50" s="4"/>
      <c r="E50" s="4"/>
      <c r="F50" s="4"/>
      <c r="G50" s="4"/>
    </row>
    <row r="51" customFormat="false" ht="15" hidden="false" customHeight="true" outlineLevel="0" collapsed="false">
      <c r="A51" s="12" t="n">
        <v>4</v>
      </c>
      <c r="B51" s="4" t="s">
        <v>213</v>
      </c>
      <c r="C51" s="4" t="s">
        <v>214</v>
      </c>
      <c r="D51" s="4"/>
      <c r="E51" s="4"/>
      <c r="F51" s="4"/>
      <c r="G51" s="4"/>
    </row>
    <row r="52" customFormat="false" ht="15" hidden="false" customHeight="true" outlineLevel="0" collapsed="false">
      <c r="A52" s="12" t="n">
        <v>5</v>
      </c>
      <c r="B52" s="4" t="s">
        <v>215</v>
      </c>
      <c r="C52" s="4" t="s">
        <v>216</v>
      </c>
      <c r="D52" s="4"/>
      <c r="E52" s="4"/>
      <c r="F52" s="4"/>
      <c r="G52" s="4"/>
    </row>
    <row r="54" customFormat="false" ht="21.75" hidden="false" customHeight="true" outlineLevel="0" collapsed="false">
      <c r="A54" s="10" t="s">
        <v>29</v>
      </c>
      <c r="B54" s="10" t="s">
        <v>217</v>
      </c>
    </row>
    <row r="55" customFormat="false" ht="15" hidden="false" customHeight="false" outlineLevel="0" collapsed="false">
      <c r="A55" s="11" t="s">
        <v>32</v>
      </c>
      <c r="B55" s="22" t="n">
        <v>1</v>
      </c>
    </row>
    <row r="56" customFormat="false" ht="15" hidden="false" customHeight="false" outlineLevel="0" collapsed="false">
      <c r="A56" s="11" t="s">
        <v>33</v>
      </c>
      <c r="B56" s="22" t="n">
        <v>5</v>
      </c>
    </row>
    <row r="57" customFormat="false" ht="15" hidden="false" customHeight="false" outlineLevel="0" collapsed="false">
      <c r="A57" s="11" t="s">
        <v>34</v>
      </c>
      <c r="B57" s="22" t="n">
        <v>10</v>
      </c>
    </row>
    <row r="58" customFormat="false" ht="15" hidden="false" customHeight="false" outlineLevel="0" collapsed="false">
      <c r="A58" s="11" t="s">
        <v>35</v>
      </c>
      <c r="B58" s="22" t="n">
        <v>17</v>
      </c>
    </row>
  </sheetData>
  <mergeCells count="22">
    <mergeCell ref="C4:G4"/>
    <mergeCell ref="C5:G5"/>
    <mergeCell ref="C6:G6"/>
    <mergeCell ref="C27:G27"/>
    <mergeCell ref="C28:G28"/>
    <mergeCell ref="C29:G29"/>
    <mergeCell ref="C30:G30"/>
    <mergeCell ref="A33:G33"/>
    <mergeCell ref="A34:G34"/>
    <mergeCell ref="A35:G35"/>
    <mergeCell ref="A36:G36"/>
    <mergeCell ref="A37:G37"/>
    <mergeCell ref="C41:G41"/>
    <mergeCell ref="C42:G42"/>
    <mergeCell ref="C43:G43"/>
    <mergeCell ref="C44:G44"/>
    <mergeCell ref="C45:G45"/>
    <mergeCell ref="C48:G48"/>
    <mergeCell ref="C49:G49"/>
    <mergeCell ref="C50:G50"/>
    <mergeCell ref="C51:G51"/>
    <mergeCell ref="C52:G52"/>
  </mergeCells>
  <conditionalFormatting sqref="A20:A23">
    <cfRule type="cellIs" priority="2" operator="equal" aboveAverage="0" equalAverage="0" bottom="0" percent="0" rank="0" text="" dxfId="0">
      <formula>"Critical"</formula>
    </cfRule>
    <cfRule type="cellIs" priority="3" operator="equal" aboveAverage="0" equalAverage="0" bottom="0" percent="0" rank="0" text="" dxfId="1">
      <formula>"High"</formula>
    </cfRule>
    <cfRule type="cellIs" priority="4" operator="equal" aboveAverage="0" equalAverage="0" bottom="0" percent="0" rank="0" text="" dxfId="2">
      <formula>"Medium"</formula>
    </cfRule>
    <cfRule type="cellIs" priority="5" operator="equal" aboveAverage="0" equalAverage="0" bottom="0" percent="0" rank="0" text="" dxfId="3">
      <formula>"Low"</formula>
    </cfRule>
  </conditionalFormatting>
  <conditionalFormatting sqref="A55:A58">
    <cfRule type="cellIs" priority="6" operator="equal" aboveAverage="0" equalAverage="0" bottom="0" percent="0" rank="0" text="" dxfId="0">
      <formula>"Critical"</formula>
    </cfRule>
    <cfRule type="cellIs" priority="7" operator="equal" aboveAverage="0" equalAverage="0" bottom="0" percent="0" rank="0" text="" dxfId="1">
      <formula>"High"</formula>
    </cfRule>
    <cfRule type="cellIs" priority="8" operator="equal" aboveAverage="0" equalAverage="0" bottom="0" percent="0" rank="0" text="" dxfId="2">
      <formula>"Medium"</formula>
    </cfRule>
    <cfRule type="cellIs" priority="9" operator="equal" aboveAverage="0" equalAverage="0" bottom="0" percent="0" rank="0" text="" dxfId="3">
      <formula>"Low"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FAADC"/>
    <pageSetUpPr fitToPage="true"/>
  </sheetPr>
  <dimension ref="A1:S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6"/>
    <col collapsed="false" customWidth="true" hidden="false" outlineLevel="0" max="3" min="3" style="0" width="55"/>
    <col collapsed="false" customWidth="true" hidden="false" outlineLevel="0" max="6" min="4" style="0" width="9"/>
    <col collapsed="false" customWidth="true" hidden="false" outlineLevel="0" max="7" min="7" style="0" width="28"/>
    <col collapsed="false" customWidth="true" hidden="false" outlineLevel="0" max="8" min="8" style="0" width="24"/>
    <col collapsed="false" customWidth="true" hidden="false" outlineLevel="0" max="9" min="9" style="0" width="34"/>
    <col collapsed="false" customWidth="true" hidden="false" outlineLevel="0" max="19" min="10" style="0" width="15"/>
  </cols>
  <sheetData>
    <row r="1" customFormat="false" ht="19.7" hidden="false" customHeight="false" outlineLevel="0" collapsed="false">
      <c r="A1" s="1" t="s">
        <v>218</v>
      </c>
    </row>
    <row r="2" customFormat="false" ht="15" hidden="false" customHeight="false" outlineLevel="0" collapsed="false">
      <c r="A2" s="2" t="s">
        <v>219</v>
      </c>
    </row>
    <row r="3" customFormat="false" ht="15" hidden="false" customHeight="false" outlineLevel="0" collapsed="false">
      <c r="I3" s="32" t="s">
        <v>220</v>
      </c>
      <c r="J3" s="33" t="str">
        <f aca="false">IF(Vendor_Register!$A6="","",Vendor_Register!$A6)</f>
        <v>V-001</v>
      </c>
      <c r="K3" s="33" t="str">
        <f aca="false">IF(Vendor_Register!$A7="","",Vendor_Register!$A7)</f>
        <v>V-002</v>
      </c>
      <c r="L3" s="33" t="str">
        <f aca="false">IF(Vendor_Register!$A8="","",Vendor_Register!$A8)</f>
        <v>V-003</v>
      </c>
      <c r="M3" s="33" t="str">
        <f aca="false">IF(Vendor_Register!$A9="","",Vendor_Register!$A9)</f>
        <v>V-004</v>
      </c>
      <c r="N3" s="33" t="str">
        <f aca="false">IF(Vendor_Register!$A10="","",Vendor_Register!$A10)</f>
        <v>V-005</v>
      </c>
      <c r="O3" s="33" t="str">
        <f aca="false">IF(Vendor_Register!$A11="","",Vendor_Register!$A11)</f>
        <v>V-006</v>
      </c>
      <c r="P3" s="33" t="str">
        <f aca="false">IF(Vendor_Register!$A12="","",Vendor_Register!$A12)</f>
        <v/>
      </c>
      <c r="Q3" s="33" t="str">
        <f aca="false">IF(Vendor_Register!$A13="","",Vendor_Register!$A13)</f>
        <v/>
      </c>
      <c r="R3" s="33" t="str">
        <f aca="false">IF(Vendor_Register!$A14="","",Vendor_Register!$A14)</f>
        <v/>
      </c>
      <c r="S3" s="33" t="str">
        <f aca="false">IF(Vendor_Register!$A15="","",Vendor_Register!$A15)</f>
        <v/>
      </c>
    </row>
    <row r="4" customFormat="false" ht="48" hidden="false" customHeight="true" outlineLevel="0" collapsed="false">
      <c r="A4" s="10" t="s">
        <v>221</v>
      </c>
      <c r="B4" s="10" t="s">
        <v>222</v>
      </c>
      <c r="C4" s="10" t="s">
        <v>223</v>
      </c>
      <c r="D4" s="10" t="s">
        <v>224</v>
      </c>
      <c r="E4" s="10" t="s">
        <v>225</v>
      </c>
      <c r="F4" s="10" t="s">
        <v>226</v>
      </c>
      <c r="G4" s="10" t="s">
        <v>227</v>
      </c>
      <c r="H4" s="10" t="s">
        <v>228</v>
      </c>
      <c r="I4" s="10" t="s">
        <v>229</v>
      </c>
      <c r="J4" s="10" t="str">
        <f aca="false">IF(Vendor_Register!$B6="","(unused)",Vendor_Register!$B6)</f>
        <v>Stratus Cloud Infrastructure</v>
      </c>
      <c r="K4" s="10" t="str">
        <f aca="false">IF(Vendor_Register!$B7="","(unused)",Vendor_Register!$B7)</f>
        <v>NimbusAI Language Platform</v>
      </c>
      <c r="L4" s="10" t="str">
        <f aca="false">IF(Vendor_Register!$B8="","(unused)",Vendor_Register!$B8)</f>
        <v>Orbit CRM Suite</v>
      </c>
      <c r="M4" s="10" t="str">
        <f aca="false">IF(Vendor_Register!$B9="","(unused)",Vendor_Register!$B9)</f>
        <v>InsightML Analytics</v>
      </c>
      <c r="N4" s="10" t="str">
        <f aca="false">IF(Vendor_Register!$B10="","(unused)",Vendor_Register!$B10)</f>
        <v>Cirrus Backup &amp; Recovery</v>
      </c>
      <c r="O4" s="10" t="str">
        <f aca="false">IF(Vendor_Register!$B11="","(unused)",Vendor_Register!$B11)</f>
        <v>Brightleaf Survey Tool</v>
      </c>
      <c r="P4" s="10" t="str">
        <f aca="false">IF(Vendor_Register!$B12="","(unused)",Vendor_Register!$B12)</f>
        <v>(unused)</v>
      </c>
      <c r="Q4" s="10" t="str">
        <f aca="false">IF(Vendor_Register!$B13="","(unused)",Vendor_Register!$B13)</f>
        <v>(unused)</v>
      </c>
      <c r="R4" s="10" t="str">
        <f aca="false">IF(Vendor_Register!$B14="","(unused)",Vendor_Register!$B14)</f>
        <v>(unused)</v>
      </c>
      <c r="S4" s="10" t="str">
        <f aca="false">IF(Vendor_Register!$B15="","(unused)",Vendor_Register!$B15)</f>
        <v>(unused)</v>
      </c>
    </row>
    <row r="5" customFormat="false" ht="23.85" hidden="false" customHeight="false" outlineLevel="0" collapsed="false">
      <c r="A5" s="12" t="s">
        <v>230</v>
      </c>
      <c r="B5" s="4" t="s">
        <v>231</v>
      </c>
      <c r="C5" s="4" t="s">
        <v>232</v>
      </c>
      <c r="D5" s="19" t="s">
        <v>233</v>
      </c>
      <c r="E5" s="22" t="n">
        <v>3</v>
      </c>
      <c r="F5" s="22" t="s">
        <v>180</v>
      </c>
      <c r="G5" s="4" t="s">
        <v>234</v>
      </c>
      <c r="H5" s="4" t="s">
        <v>235</v>
      </c>
      <c r="I5" s="4" t="s">
        <v>236</v>
      </c>
      <c r="J5" s="22" t="s">
        <v>176</v>
      </c>
      <c r="K5" s="22" t="s">
        <v>176</v>
      </c>
      <c r="L5" s="22" t="s">
        <v>178</v>
      </c>
      <c r="M5" s="22" t="s">
        <v>176</v>
      </c>
      <c r="N5" s="22" t="s">
        <v>176</v>
      </c>
      <c r="O5" s="22" t="s">
        <v>178</v>
      </c>
      <c r="P5" s="22"/>
      <c r="Q5" s="22"/>
      <c r="R5" s="22"/>
      <c r="S5" s="22"/>
    </row>
    <row r="6" customFormat="false" ht="35.05" hidden="false" customHeight="false" outlineLevel="0" collapsed="false">
      <c r="A6" s="12" t="s">
        <v>237</v>
      </c>
      <c r="B6" s="4" t="s">
        <v>231</v>
      </c>
      <c r="C6" s="4" t="s">
        <v>238</v>
      </c>
      <c r="D6" s="19" t="s">
        <v>233</v>
      </c>
      <c r="E6" s="22" t="n">
        <v>3</v>
      </c>
      <c r="F6" s="22" t="s">
        <v>176</v>
      </c>
      <c r="G6" s="4" t="s">
        <v>239</v>
      </c>
      <c r="H6" s="4" t="s">
        <v>240</v>
      </c>
      <c r="I6" s="4" t="s">
        <v>241</v>
      </c>
      <c r="J6" s="22" t="s">
        <v>176</v>
      </c>
      <c r="K6" s="22" t="s">
        <v>178</v>
      </c>
      <c r="L6" s="22" t="s">
        <v>176</v>
      </c>
      <c r="M6" s="22" t="s">
        <v>178</v>
      </c>
      <c r="N6" s="22" t="s">
        <v>176</v>
      </c>
      <c r="O6" s="22" t="s">
        <v>178</v>
      </c>
      <c r="P6" s="22"/>
      <c r="Q6" s="22"/>
      <c r="R6" s="22"/>
      <c r="S6" s="22"/>
    </row>
    <row r="7" customFormat="false" ht="23.85" hidden="false" customHeight="false" outlineLevel="0" collapsed="false">
      <c r="A7" s="12" t="s">
        <v>242</v>
      </c>
      <c r="B7" s="4" t="s">
        <v>231</v>
      </c>
      <c r="C7" s="4" t="s">
        <v>243</v>
      </c>
      <c r="D7" s="19" t="s">
        <v>233</v>
      </c>
      <c r="E7" s="22" t="n">
        <v>2</v>
      </c>
      <c r="F7" s="22" t="s">
        <v>180</v>
      </c>
      <c r="G7" s="4" t="s">
        <v>244</v>
      </c>
      <c r="H7" s="4" t="s">
        <v>245</v>
      </c>
      <c r="I7" s="4" t="s">
        <v>246</v>
      </c>
      <c r="J7" s="22" t="s">
        <v>176</v>
      </c>
      <c r="K7" s="22" t="s">
        <v>176</v>
      </c>
      <c r="L7" s="22" t="s">
        <v>180</v>
      </c>
      <c r="M7" s="22" t="s">
        <v>178</v>
      </c>
      <c r="N7" s="22" t="s">
        <v>176</v>
      </c>
      <c r="O7" s="22" t="s">
        <v>180</v>
      </c>
      <c r="P7" s="22"/>
      <c r="Q7" s="22"/>
      <c r="R7" s="22"/>
      <c r="S7" s="22"/>
    </row>
    <row r="8" customFormat="false" ht="23.85" hidden="false" customHeight="false" outlineLevel="0" collapsed="false">
      <c r="A8" s="12" t="s">
        <v>247</v>
      </c>
      <c r="B8" s="4" t="s">
        <v>231</v>
      </c>
      <c r="C8" s="4" t="s">
        <v>248</v>
      </c>
      <c r="D8" s="19" t="s">
        <v>233</v>
      </c>
      <c r="E8" s="22" t="n">
        <v>2</v>
      </c>
      <c r="F8" s="22" t="s">
        <v>180</v>
      </c>
      <c r="G8" s="4" t="s">
        <v>249</v>
      </c>
      <c r="H8" s="4" t="s">
        <v>250</v>
      </c>
      <c r="I8" s="4" t="s">
        <v>251</v>
      </c>
      <c r="J8" s="22" t="s">
        <v>178</v>
      </c>
      <c r="K8" s="22" t="s">
        <v>176</v>
      </c>
      <c r="L8" s="22" t="s">
        <v>178</v>
      </c>
      <c r="M8" s="22" t="s">
        <v>178</v>
      </c>
      <c r="N8" s="22" t="s">
        <v>178</v>
      </c>
      <c r="O8" s="22" t="s">
        <v>180</v>
      </c>
      <c r="P8" s="22"/>
      <c r="Q8" s="22"/>
      <c r="R8" s="22"/>
      <c r="S8" s="22"/>
    </row>
    <row r="9" customFormat="false" ht="35.05" hidden="false" customHeight="false" outlineLevel="0" collapsed="false">
      <c r="A9" s="12" t="s">
        <v>252</v>
      </c>
      <c r="B9" s="4" t="s">
        <v>231</v>
      </c>
      <c r="C9" s="4" t="s">
        <v>253</v>
      </c>
      <c r="D9" s="19" t="s">
        <v>233</v>
      </c>
      <c r="E9" s="22" t="n">
        <v>2</v>
      </c>
      <c r="F9" s="22" t="s">
        <v>180</v>
      </c>
      <c r="G9" s="4" t="s">
        <v>254</v>
      </c>
      <c r="H9" s="4" t="s">
        <v>255</v>
      </c>
      <c r="I9" s="4" t="s">
        <v>256</v>
      </c>
      <c r="J9" s="22" t="s">
        <v>176</v>
      </c>
      <c r="K9" s="22" t="s">
        <v>176</v>
      </c>
      <c r="L9" s="22" t="s">
        <v>178</v>
      </c>
      <c r="M9" s="22" t="s">
        <v>176</v>
      </c>
      <c r="N9" s="22" t="s">
        <v>176</v>
      </c>
      <c r="O9" s="22" t="s">
        <v>176</v>
      </c>
      <c r="P9" s="22"/>
      <c r="Q9" s="22"/>
      <c r="R9" s="22"/>
      <c r="S9" s="22"/>
    </row>
    <row r="10" customFormat="false" ht="23.85" hidden="false" customHeight="false" outlineLevel="0" collapsed="false">
      <c r="A10" s="12" t="s">
        <v>257</v>
      </c>
      <c r="B10" s="4" t="s">
        <v>258</v>
      </c>
      <c r="C10" s="4" t="s">
        <v>259</v>
      </c>
      <c r="D10" s="19" t="s">
        <v>233</v>
      </c>
      <c r="E10" s="22" t="n">
        <v>3</v>
      </c>
      <c r="F10" s="22" t="s">
        <v>176</v>
      </c>
      <c r="G10" s="4" t="s">
        <v>260</v>
      </c>
      <c r="H10" s="4" t="s">
        <v>261</v>
      </c>
      <c r="I10" s="4" t="s">
        <v>262</v>
      </c>
      <c r="J10" s="22" t="s">
        <v>176</v>
      </c>
      <c r="K10" s="22" t="s">
        <v>176</v>
      </c>
      <c r="L10" s="22" t="s">
        <v>176</v>
      </c>
      <c r="M10" s="22" t="s">
        <v>176</v>
      </c>
      <c r="N10" s="22" t="s">
        <v>176</v>
      </c>
      <c r="O10" s="22" t="s">
        <v>176</v>
      </c>
      <c r="P10" s="22"/>
      <c r="Q10" s="22"/>
      <c r="R10" s="22"/>
      <c r="S10" s="22"/>
    </row>
    <row r="11" customFormat="false" ht="23.85" hidden="false" customHeight="false" outlineLevel="0" collapsed="false">
      <c r="A11" s="12" t="s">
        <v>263</v>
      </c>
      <c r="B11" s="4" t="s">
        <v>258</v>
      </c>
      <c r="C11" s="4" t="s">
        <v>264</v>
      </c>
      <c r="D11" s="19" t="s">
        <v>233</v>
      </c>
      <c r="E11" s="22" t="n">
        <v>2</v>
      </c>
      <c r="F11" s="22" t="s">
        <v>180</v>
      </c>
      <c r="G11" s="4" t="s">
        <v>265</v>
      </c>
      <c r="H11" s="4" t="s">
        <v>261</v>
      </c>
      <c r="I11" s="4" t="s">
        <v>266</v>
      </c>
      <c r="J11" s="22" t="s">
        <v>176</v>
      </c>
      <c r="K11" s="22" t="s">
        <v>176</v>
      </c>
      <c r="L11" s="22" t="s">
        <v>178</v>
      </c>
      <c r="M11" s="22" t="s">
        <v>178</v>
      </c>
      <c r="N11" s="22" t="s">
        <v>176</v>
      </c>
      <c r="O11" s="22" t="s">
        <v>178</v>
      </c>
      <c r="P11" s="22"/>
      <c r="Q11" s="22"/>
      <c r="R11" s="22"/>
      <c r="S11" s="22"/>
    </row>
    <row r="12" customFormat="false" ht="23.85" hidden="false" customHeight="false" outlineLevel="0" collapsed="false">
      <c r="A12" s="12" t="s">
        <v>267</v>
      </c>
      <c r="B12" s="4" t="s">
        <v>258</v>
      </c>
      <c r="C12" s="4" t="s">
        <v>268</v>
      </c>
      <c r="D12" s="19" t="s">
        <v>233</v>
      </c>
      <c r="E12" s="22" t="n">
        <v>2</v>
      </c>
      <c r="F12" s="22" t="s">
        <v>180</v>
      </c>
      <c r="G12" s="4" t="s">
        <v>269</v>
      </c>
      <c r="H12" s="4" t="s">
        <v>261</v>
      </c>
      <c r="I12" s="4" t="s">
        <v>270</v>
      </c>
      <c r="J12" s="22" t="s">
        <v>176</v>
      </c>
      <c r="K12" s="22" t="s">
        <v>178</v>
      </c>
      <c r="L12" s="22" t="s">
        <v>180</v>
      </c>
      <c r="M12" s="22" t="s">
        <v>178</v>
      </c>
      <c r="N12" s="22" t="s">
        <v>176</v>
      </c>
      <c r="O12" s="22" t="s">
        <v>180</v>
      </c>
      <c r="P12" s="22"/>
      <c r="Q12" s="22"/>
      <c r="R12" s="22"/>
      <c r="S12" s="22"/>
    </row>
    <row r="13" customFormat="false" ht="23.85" hidden="false" customHeight="false" outlineLevel="0" collapsed="false">
      <c r="A13" s="12" t="s">
        <v>271</v>
      </c>
      <c r="B13" s="4" t="s">
        <v>258</v>
      </c>
      <c r="C13" s="4" t="s">
        <v>272</v>
      </c>
      <c r="D13" s="19" t="s">
        <v>233</v>
      </c>
      <c r="E13" s="22" t="n">
        <v>2</v>
      </c>
      <c r="F13" s="22" t="s">
        <v>180</v>
      </c>
      <c r="G13" s="4" t="s">
        <v>273</v>
      </c>
      <c r="H13" s="4" t="s">
        <v>261</v>
      </c>
      <c r="I13" s="4" t="s">
        <v>274</v>
      </c>
      <c r="J13" s="22" t="s">
        <v>176</v>
      </c>
      <c r="K13" s="22" t="s">
        <v>176</v>
      </c>
      <c r="L13" s="22" t="s">
        <v>178</v>
      </c>
      <c r="M13" s="22" t="s">
        <v>178</v>
      </c>
      <c r="N13" s="22" t="s">
        <v>176</v>
      </c>
      <c r="O13" s="22" t="s">
        <v>178</v>
      </c>
      <c r="P13" s="22"/>
      <c r="Q13" s="22"/>
      <c r="R13" s="22"/>
      <c r="S13" s="22"/>
    </row>
    <row r="14" customFormat="false" ht="23.85" hidden="false" customHeight="false" outlineLevel="0" collapsed="false">
      <c r="A14" s="12" t="s">
        <v>275</v>
      </c>
      <c r="B14" s="4" t="s">
        <v>258</v>
      </c>
      <c r="C14" s="4" t="s">
        <v>276</v>
      </c>
      <c r="D14" s="19" t="s">
        <v>233</v>
      </c>
      <c r="E14" s="22" t="n">
        <v>1</v>
      </c>
      <c r="F14" s="22" t="s">
        <v>180</v>
      </c>
      <c r="G14" s="4" t="s">
        <v>277</v>
      </c>
      <c r="H14" s="4" t="s">
        <v>261</v>
      </c>
      <c r="I14" s="4" t="s">
        <v>278</v>
      </c>
      <c r="J14" s="22" t="s">
        <v>176</v>
      </c>
      <c r="K14" s="22" t="s">
        <v>176</v>
      </c>
      <c r="L14" s="22" t="s">
        <v>178</v>
      </c>
      <c r="M14" s="22" t="s">
        <v>176</v>
      </c>
      <c r="N14" s="22" t="s">
        <v>176</v>
      </c>
      <c r="O14" s="22" t="s">
        <v>176</v>
      </c>
      <c r="P14" s="22"/>
      <c r="Q14" s="22"/>
      <c r="R14" s="22"/>
      <c r="S14" s="22"/>
    </row>
    <row r="15" customFormat="false" ht="23.85" hidden="false" customHeight="false" outlineLevel="0" collapsed="false">
      <c r="A15" s="12" t="s">
        <v>279</v>
      </c>
      <c r="B15" s="4" t="s">
        <v>280</v>
      </c>
      <c r="C15" s="4" t="s">
        <v>281</v>
      </c>
      <c r="D15" s="19" t="s">
        <v>233</v>
      </c>
      <c r="E15" s="22" t="n">
        <v>3</v>
      </c>
      <c r="F15" s="22" t="s">
        <v>176</v>
      </c>
      <c r="G15" s="4" t="s">
        <v>282</v>
      </c>
      <c r="H15" s="4" t="s">
        <v>283</v>
      </c>
      <c r="I15" s="4" t="s">
        <v>284</v>
      </c>
      <c r="J15" s="22" t="s">
        <v>176</v>
      </c>
      <c r="K15" s="22" t="s">
        <v>176</v>
      </c>
      <c r="L15" s="22" t="s">
        <v>176</v>
      </c>
      <c r="M15" s="22" t="s">
        <v>176</v>
      </c>
      <c r="N15" s="22" t="s">
        <v>176</v>
      </c>
      <c r="O15" s="22" t="s">
        <v>176</v>
      </c>
      <c r="P15" s="22"/>
      <c r="Q15" s="22"/>
      <c r="R15" s="22"/>
      <c r="S15" s="22"/>
    </row>
    <row r="16" customFormat="false" ht="15" hidden="false" customHeight="false" outlineLevel="0" collapsed="false">
      <c r="A16" s="12" t="s">
        <v>285</v>
      </c>
      <c r="B16" s="4" t="s">
        <v>280</v>
      </c>
      <c r="C16" s="4" t="s">
        <v>286</v>
      </c>
      <c r="D16" s="19" t="s">
        <v>233</v>
      </c>
      <c r="E16" s="22" t="n">
        <v>3</v>
      </c>
      <c r="F16" s="22" t="s">
        <v>176</v>
      </c>
      <c r="G16" s="4" t="s">
        <v>287</v>
      </c>
      <c r="H16" s="4" t="s">
        <v>283</v>
      </c>
      <c r="I16" s="4" t="s">
        <v>288</v>
      </c>
      <c r="J16" s="22" t="s">
        <v>176</v>
      </c>
      <c r="K16" s="22" t="s">
        <v>176</v>
      </c>
      <c r="L16" s="22" t="s">
        <v>176</v>
      </c>
      <c r="M16" s="22" t="s">
        <v>176</v>
      </c>
      <c r="N16" s="22" t="s">
        <v>176</v>
      </c>
      <c r="O16" s="22" t="s">
        <v>176</v>
      </c>
      <c r="P16" s="22"/>
      <c r="Q16" s="22"/>
      <c r="R16" s="22"/>
      <c r="S16" s="22"/>
    </row>
    <row r="17" customFormat="false" ht="35.05" hidden="false" customHeight="false" outlineLevel="0" collapsed="false">
      <c r="A17" s="12" t="s">
        <v>289</v>
      </c>
      <c r="B17" s="4" t="s">
        <v>280</v>
      </c>
      <c r="C17" s="4" t="s">
        <v>290</v>
      </c>
      <c r="D17" s="19" t="s">
        <v>233</v>
      </c>
      <c r="E17" s="22" t="n">
        <v>2</v>
      </c>
      <c r="F17" s="22" t="s">
        <v>180</v>
      </c>
      <c r="G17" s="4" t="s">
        <v>291</v>
      </c>
      <c r="H17" s="4" t="s">
        <v>283</v>
      </c>
      <c r="I17" s="4" t="s">
        <v>292</v>
      </c>
      <c r="J17" s="22" t="s">
        <v>176</v>
      </c>
      <c r="K17" s="22" t="s">
        <v>176</v>
      </c>
      <c r="L17" s="22" t="s">
        <v>180</v>
      </c>
      <c r="M17" s="22" t="s">
        <v>178</v>
      </c>
      <c r="N17" s="22" t="s">
        <v>176</v>
      </c>
      <c r="O17" s="22" t="s">
        <v>178</v>
      </c>
      <c r="P17" s="22"/>
      <c r="Q17" s="22"/>
      <c r="R17" s="22"/>
      <c r="S17" s="22"/>
    </row>
    <row r="18" customFormat="false" ht="35.05" hidden="false" customHeight="false" outlineLevel="0" collapsed="false">
      <c r="A18" s="12" t="s">
        <v>293</v>
      </c>
      <c r="B18" s="4" t="s">
        <v>280</v>
      </c>
      <c r="C18" s="4" t="s">
        <v>294</v>
      </c>
      <c r="D18" s="19" t="s">
        <v>233</v>
      </c>
      <c r="E18" s="22" t="n">
        <v>2</v>
      </c>
      <c r="F18" s="22" t="s">
        <v>180</v>
      </c>
      <c r="G18" s="4" t="s">
        <v>295</v>
      </c>
      <c r="H18" s="4" t="s">
        <v>296</v>
      </c>
      <c r="I18" s="4" t="s">
        <v>297</v>
      </c>
      <c r="J18" s="22" t="s">
        <v>178</v>
      </c>
      <c r="K18" s="22" t="s">
        <v>178</v>
      </c>
      <c r="L18" s="22" t="s">
        <v>180</v>
      </c>
      <c r="M18" s="22" t="s">
        <v>176</v>
      </c>
      <c r="N18" s="22" t="s">
        <v>178</v>
      </c>
      <c r="O18" s="22" t="s">
        <v>176</v>
      </c>
      <c r="P18" s="22"/>
      <c r="Q18" s="22"/>
      <c r="R18" s="22"/>
      <c r="S18" s="22"/>
    </row>
    <row r="19" customFormat="false" ht="23.85" hidden="false" customHeight="false" outlineLevel="0" collapsed="false">
      <c r="A19" s="12" t="s">
        <v>298</v>
      </c>
      <c r="B19" s="4" t="s">
        <v>280</v>
      </c>
      <c r="C19" s="4" t="s">
        <v>299</v>
      </c>
      <c r="D19" s="19" t="s">
        <v>233</v>
      </c>
      <c r="E19" s="22" t="n">
        <v>2</v>
      </c>
      <c r="F19" s="22" t="s">
        <v>180</v>
      </c>
      <c r="G19" s="4" t="s">
        <v>282</v>
      </c>
      <c r="H19" s="4" t="s">
        <v>283</v>
      </c>
      <c r="I19" s="4" t="s">
        <v>300</v>
      </c>
      <c r="J19" s="22" t="s">
        <v>176</v>
      </c>
      <c r="K19" s="22" t="s">
        <v>176</v>
      </c>
      <c r="L19" s="22" t="s">
        <v>178</v>
      </c>
      <c r="M19" s="22" t="s">
        <v>178</v>
      </c>
      <c r="N19" s="22" t="s">
        <v>176</v>
      </c>
      <c r="O19" s="22" t="s">
        <v>180</v>
      </c>
      <c r="P19" s="22"/>
      <c r="Q19" s="22"/>
      <c r="R19" s="22"/>
      <c r="S19" s="22"/>
    </row>
    <row r="20" customFormat="false" ht="23.85" hidden="false" customHeight="false" outlineLevel="0" collapsed="false">
      <c r="A20" s="12" t="s">
        <v>301</v>
      </c>
      <c r="B20" s="4" t="s">
        <v>280</v>
      </c>
      <c r="C20" s="4" t="s">
        <v>302</v>
      </c>
      <c r="D20" s="19" t="s">
        <v>233</v>
      </c>
      <c r="E20" s="22" t="n">
        <v>2</v>
      </c>
      <c r="F20" s="22" t="s">
        <v>180</v>
      </c>
      <c r="G20" s="4" t="s">
        <v>303</v>
      </c>
      <c r="H20" s="4" t="s">
        <v>304</v>
      </c>
      <c r="I20" s="4" t="s">
        <v>305</v>
      </c>
      <c r="J20" s="22" t="s">
        <v>176</v>
      </c>
      <c r="K20" s="22" t="s">
        <v>176</v>
      </c>
      <c r="L20" s="22" t="s">
        <v>178</v>
      </c>
      <c r="M20" s="22" t="s">
        <v>176</v>
      </c>
      <c r="N20" s="22" t="s">
        <v>176</v>
      </c>
      <c r="O20" s="22" t="s">
        <v>178</v>
      </c>
      <c r="P20" s="22"/>
      <c r="Q20" s="22"/>
      <c r="R20" s="22"/>
      <c r="S20" s="22"/>
    </row>
    <row r="21" customFormat="false" ht="23.85" hidden="false" customHeight="false" outlineLevel="0" collapsed="false">
      <c r="A21" s="12" t="s">
        <v>306</v>
      </c>
      <c r="B21" s="4" t="s">
        <v>307</v>
      </c>
      <c r="C21" s="4" t="s">
        <v>308</v>
      </c>
      <c r="D21" s="19" t="s">
        <v>233</v>
      </c>
      <c r="E21" s="22" t="n">
        <v>2</v>
      </c>
      <c r="F21" s="22" t="s">
        <v>180</v>
      </c>
      <c r="G21" s="4" t="s">
        <v>309</v>
      </c>
      <c r="H21" s="4" t="s">
        <v>310</v>
      </c>
      <c r="I21" s="4" t="s">
        <v>311</v>
      </c>
      <c r="J21" s="22" t="s">
        <v>176</v>
      </c>
      <c r="K21" s="22" t="s">
        <v>176</v>
      </c>
      <c r="L21" s="22" t="s">
        <v>178</v>
      </c>
      <c r="M21" s="22" t="s">
        <v>176</v>
      </c>
      <c r="N21" s="22" t="s">
        <v>176</v>
      </c>
      <c r="O21" s="22" t="s">
        <v>176</v>
      </c>
      <c r="P21" s="22"/>
      <c r="Q21" s="22"/>
      <c r="R21" s="22"/>
      <c r="S21" s="22"/>
    </row>
    <row r="22" customFormat="false" ht="23.85" hidden="false" customHeight="false" outlineLevel="0" collapsed="false">
      <c r="A22" s="12" t="s">
        <v>312</v>
      </c>
      <c r="B22" s="4" t="s">
        <v>307</v>
      </c>
      <c r="C22" s="4" t="s">
        <v>313</v>
      </c>
      <c r="D22" s="19" t="s">
        <v>233</v>
      </c>
      <c r="E22" s="22" t="n">
        <v>2</v>
      </c>
      <c r="F22" s="22" t="s">
        <v>180</v>
      </c>
      <c r="G22" s="4" t="s">
        <v>314</v>
      </c>
      <c r="H22" s="4" t="s">
        <v>315</v>
      </c>
      <c r="I22" s="4" t="s">
        <v>316</v>
      </c>
      <c r="J22" s="22" t="s">
        <v>176</v>
      </c>
      <c r="K22" s="22" t="s">
        <v>176</v>
      </c>
      <c r="L22" s="22" t="s">
        <v>176</v>
      </c>
      <c r="M22" s="22" t="s">
        <v>176</v>
      </c>
      <c r="N22" s="22" t="s">
        <v>176</v>
      </c>
      <c r="O22" s="22" t="s">
        <v>176</v>
      </c>
      <c r="P22" s="22"/>
      <c r="Q22" s="22"/>
      <c r="R22" s="22"/>
      <c r="S22" s="22"/>
    </row>
    <row r="23" customFormat="false" ht="23.85" hidden="false" customHeight="false" outlineLevel="0" collapsed="false">
      <c r="A23" s="12" t="s">
        <v>317</v>
      </c>
      <c r="B23" s="4" t="s">
        <v>307</v>
      </c>
      <c r="C23" s="4" t="s">
        <v>318</v>
      </c>
      <c r="D23" s="19" t="s">
        <v>233</v>
      </c>
      <c r="E23" s="22" t="n">
        <v>2</v>
      </c>
      <c r="F23" s="22" t="s">
        <v>180</v>
      </c>
      <c r="G23" s="4" t="s">
        <v>319</v>
      </c>
      <c r="H23" s="4" t="s">
        <v>304</v>
      </c>
      <c r="I23" s="4" t="s">
        <v>320</v>
      </c>
      <c r="J23" s="22" t="s">
        <v>176</v>
      </c>
      <c r="K23" s="22" t="s">
        <v>176</v>
      </c>
      <c r="L23" s="22" t="s">
        <v>178</v>
      </c>
      <c r="M23" s="22" t="s">
        <v>178</v>
      </c>
      <c r="N23" s="22" t="s">
        <v>176</v>
      </c>
      <c r="O23" s="22" t="s">
        <v>178</v>
      </c>
      <c r="P23" s="22"/>
      <c r="Q23" s="22"/>
      <c r="R23" s="22"/>
      <c r="S23" s="22"/>
    </row>
    <row r="24" customFormat="false" ht="23.85" hidden="false" customHeight="false" outlineLevel="0" collapsed="false">
      <c r="A24" s="12" t="s">
        <v>321</v>
      </c>
      <c r="B24" s="4" t="s">
        <v>307</v>
      </c>
      <c r="C24" s="4" t="s">
        <v>322</v>
      </c>
      <c r="D24" s="19" t="s">
        <v>233</v>
      </c>
      <c r="E24" s="22" t="n">
        <v>2</v>
      </c>
      <c r="F24" s="22" t="s">
        <v>180</v>
      </c>
      <c r="G24" s="4" t="s">
        <v>323</v>
      </c>
      <c r="H24" s="4" t="s">
        <v>324</v>
      </c>
      <c r="I24" s="4" t="s">
        <v>325</v>
      </c>
      <c r="J24" s="22" t="s">
        <v>176</v>
      </c>
      <c r="K24" s="22" t="s">
        <v>176</v>
      </c>
      <c r="L24" s="22" t="s">
        <v>178</v>
      </c>
      <c r="M24" s="22" t="s">
        <v>178</v>
      </c>
      <c r="N24" s="22" t="s">
        <v>176</v>
      </c>
      <c r="O24" s="22" t="s">
        <v>180</v>
      </c>
      <c r="P24" s="22"/>
      <c r="Q24" s="22"/>
      <c r="R24" s="22"/>
      <c r="S24" s="22"/>
    </row>
    <row r="25" customFormat="false" ht="23.85" hidden="false" customHeight="false" outlineLevel="0" collapsed="false">
      <c r="A25" s="12" t="s">
        <v>326</v>
      </c>
      <c r="B25" s="4" t="s">
        <v>307</v>
      </c>
      <c r="C25" s="4" t="s">
        <v>327</v>
      </c>
      <c r="D25" s="19" t="s">
        <v>233</v>
      </c>
      <c r="E25" s="22" t="n">
        <v>1</v>
      </c>
      <c r="F25" s="22" t="s">
        <v>180</v>
      </c>
      <c r="G25" s="4" t="s">
        <v>328</v>
      </c>
      <c r="H25" s="4" t="s">
        <v>329</v>
      </c>
      <c r="I25" s="4" t="s">
        <v>278</v>
      </c>
      <c r="J25" s="22" t="s">
        <v>178</v>
      </c>
      <c r="K25" s="22" t="s">
        <v>176</v>
      </c>
      <c r="L25" s="22" t="s">
        <v>176</v>
      </c>
      <c r="M25" s="22" t="s">
        <v>176</v>
      </c>
      <c r="N25" s="22" t="s">
        <v>178</v>
      </c>
      <c r="O25" s="22" t="s">
        <v>176</v>
      </c>
      <c r="P25" s="22"/>
      <c r="Q25" s="22"/>
      <c r="R25" s="22"/>
      <c r="S25" s="22"/>
    </row>
    <row r="26" customFormat="false" ht="23.85" hidden="false" customHeight="false" outlineLevel="0" collapsed="false">
      <c r="A26" s="12" t="s">
        <v>330</v>
      </c>
      <c r="B26" s="4" t="s">
        <v>331</v>
      </c>
      <c r="C26" s="4" t="s">
        <v>332</v>
      </c>
      <c r="D26" s="19" t="s">
        <v>233</v>
      </c>
      <c r="E26" s="22" t="n">
        <v>2</v>
      </c>
      <c r="F26" s="22" t="s">
        <v>180</v>
      </c>
      <c r="G26" s="4" t="s">
        <v>333</v>
      </c>
      <c r="H26" s="4" t="s">
        <v>334</v>
      </c>
      <c r="I26" s="4" t="s">
        <v>335</v>
      </c>
      <c r="J26" s="22" t="s">
        <v>176</v>
      </c>
      <c r="K26" s="22" t="s">
        <v>176</v>
      </c>
      <c r="L26" s="22" t="s">
        <v>178</v>
      </c>
      <c r="M26" s="22" t="s">
        <v>176</v>
      </c>
      <c r="N26" s="22" t="s">
        <v>176</v>
      </c>
      <c r="O26" s="22" t="s">
        <v>178</v>
      </c>
      <c r="P26" s="22"/>
      <c r="Q26" s="22"/>
      <c r="R26" s="22"/>
      <c r="S26" s="22"/>
    </row>
    <row r="27" customFormat="false" ht="35.05" hidden="false" customHeight="false" outlineLevel="0" collapsed="false">
      <c r="A27" s="12" t="s">
        <v>336</v>
      </c>
      <c r="B27" s="4" t="s">
        <v>331</v>
      </c>
      <c r="C27" s="4" t="s">
        <v>337</v>
      </c>
      <c r="D27" s="19" t="s">
        <v>233</v>
      </c>
      <c r="E27" s="22" t="n">
        <v>3</v>
      </c>
      <c r="F27" s="22" t="s">
        <v>180</v>
      </c>
      <c r="G27" s="4" t="s">
        <v>338</v>
      </c>
      <c r="H27" s="4" t="s">
        <v>339</v>
      </c>
      <c r="I27" s="4" t="s">
        <v>340</v>
      </c>
      <c r="J27" s="22" t="s">
        <v>176</v>
      </c>
      <c r="K27" s="22" t="s">
        <v>178</v>
      </c>
      <c r="L27" s="22" t="s">
        <v>180</v>
      </c>
      <c r="M27" s="22" t="s">
        <v>178</v>
      </c>
      <c r="N27" s="22" t="s">
        <v>176</v>
      </c>
      <c r="O27" s="22" t="s">
        <v>180</v>
      </c>
      <c r="P27" s="22"/>
      <c r="Q27" s="22"/>
      <c r="R27" s="22"/>
      <c r="S27" s="22"/>
    </row>
    <row r="28" customFormat="false" ht="23.85" hidden="false" customHeight="false" outlineLevel="0" collapsed="false">
      <c r="A28" s="12" t="s">
        <v>341</v>
      </c>
      <c r="B28" s="4" t="s">
        <v>331</v>
      </c>
      <c r="C28" s="4" t="s">
        <v>342</v>
      </c>
      <c r="D28" s="19" t="s">
        <v>233</v>
      </c>
      <c r="E28" s="22" t="n">
        <v>3</v>
      </c>
      <c r="F28" s="22" t="s">
        <v>180</v>
      </c>
      <c r="G28" s="4" t="s">
        <v>343</v>
      </c>
      <c r="H28" s="4" t="s">
        <v>250</v>
      </c>
      <c r="I28" s="4" t="s">
        <v>344</v>
      </c>
      <c r="J28" s="22" t="s">
        <v>176</v>
      </c>
      <c r="K28" s="22" t="s">
        <v>176</v>
      </c>
      <c r="L28" s="22" t="s">
        <v>178</v>
      </c>
      <c r="M28" s="22" t="s">
        <v>178</v>
      </c>
      <c r="N28" s="22" t="s">
        <v>176</v>
      </c>
      <c r="O28" s="22" t="s">
        <v>178</v>
      </c>
      <c r="P28" s="22"/>
      <c r="Q28" s="22"/>
      <c r="R28" s="22"/>
      <c r="S28" s="22"/>
    </row>
    <row r="29" customFormat="false" ht="23.85" hidden="false" customHeight="false" outlineLevel="0" collapsed="false">
      <c r="A29" s="12" t="s">
        <v>345</v>
      </c>
      <c r="B29" s="4" t="s">
        <v>331</v>
      </c>
      <c r="C29" s="4" t="s">
        <v>346</v>
      </c>
      <c r="D29" s="19" t="s">
        <v>233</v>
      </c>
      <c r="E29" s="22" t="n">
        <v>2</v>
      </c>
      <c r="F29" s="22" t="s">
        <v>180</v>
      </c>
      <c r="G29" s="4" t="s">
        <v>347</v>
      </c>
      <c r="H29" s="4" t="s">
        <v>324</v>
      </c>
      <c r="I29" s="4" t="s">
        <v>348</v>
      </c>
      <c r="J29" s="22" t="s">
        <v>176</v>
      </c>
      <c r="K29" s="22" t="s">
        <v>176</v>
      </c>
      <c r="L29" s="22" t="s">
        <v>180</v>
      </c>
      <c r="M29" s="22" t="s">
        <v>176</v>
      </c>
      <c r="N29" s="22" t="s">
        <v>176</v>
      </c>
      <c r="O29" s="22" t="s">
        <v>176</v>
      </c>
      <c r="P29" s="22"/>
      <c r="Q29" s="22"/>
      <c r="R29" s="22"/>
      <c r="S29" s="22"/>
    </row>
    <row r="30" customFormat="false" ht="23.85" hidden="false" customHeight="false" outlineLevel="0" collapsed="false">
      <c r="A30" s="12" t="s">
        <v>349</v>
      </c>
      <c r="B30" s="4" t="s">
        <v>331</v>
      </c>
      <c r="C30" s="4" t="s">
        <v>350</v>
      </c>
      <c r="D30" s="19" t="s">
        <v>233</v>
      </c>
      <c r="E30" s="22" t="n">
        <v>2</v>
      </c>
      <c r="F30" s="22" t="s">
        <v>180</v>
      </c>
      <c r="G30" s="4" t="s">
        <v>351</v>
      </c>
      <c r="H30" s="4" t="s">
        <v>352</v>
      </c>
      <c r="I30" s="4" t="s">
        <v>353</v>
      </c>
      <c r="J30" s="22" t="s">
        <v>176</v>
      </c>
      <c r="K30" s="22" t="s">
        <v>176</v>
      </c>
      <c r="L30" s="22" t="s">
        <v>178</v>
      </c>
      <c r="M30" s="22" t="s">
        <v>176</v>
      </c>
      <c r="N30" s="22" t="s">
        <v>176</v>
      </c>
      <c r="O30" s="22" t="s">
        <v>178</v>
      </c>
      <c r="P30" s="22"/>
      <c r="Q30" s="22"/>
      <c r="R30" s="22"/>
      <c r="S30" s="22"/>
    </row>
    <row r="31" customFormat="false" ht="23.85" hidden="false" customHeight="false" outlineLevel="0" collapsed="false">
      <c r="A31" s="12" t="s">
        <v>354</v>
      </c>
      <c r="B31" s="4" t="s">
        <v>355</v>
      </c>
      <c r="C31" s="4" t="s">
        <v>356</v>
      </c>
      <c r="D31" s="19" t="s">
        <v>233</v>
      </c>
      <c r="E31" s="22" t="n">
        <v>3</v>
      </c>
      <c r="F31" s="22" t="s">
        <v>180</v>
      </c>
      <c r="G31" s="4" t="s">
        <v>357</v>
      </c>
      <c r="H31" s="4" t="s">
        <v>358</v>
      </c>
      <c r="I31" s="4" t="s">
        <v>359</v>
      </c>
      <c r="J31" s="22" t="s">
        <v>176</v>
      </c>
      <c r="K31" s="22" t="s">
        <v>178</v>
      </c>
      <c r="L31" s="22" t="s">
        <v>180</v>
      </c>
      <c r="M31" s="22" t="s">
        <v>176</v>
      </c>
      <c r="N31" s="22" t="s">
        <v>176</v>
      </c>
      <c r="O31" s="22" t="s">
        <v>178</v>
      </c>
      <c r="P31" s="22"/>
      <c r="Q31" s="22"/>
      <c r="R31" s="22"/>
      <c r="S31" s="22"/>
    </row>
    <row r="32" customFormat="false" ht="23.85" hidden="false" customHeight="false" outlineLevel="0" collapsed="false">
      <c r="A32" s="12" t="s">
        <v>360</v>
      </c>
      <c r="B32" s="4" t="s">
        <v>355</v>
      </c>
      <c r="C32" s="4" t="s">
        <v>361</v>
      </c>
      <c r="D32" s="19" t="s">
        <v>233</v>
      </c>
      <c r="E32" s="22" t="n">
        <v>3</v>
      </c>
      <c r="F32" s="22" t="s">
        <v>176</v>
      </c>
      <c r="G32" s="4" t="s">
        <v>362</v>
      </c>
      <c r="H32" s="4" t="s">
        <v>363</v>
      </c>
      <c r="I32" s="4" t="s">
        <v>364</v>
      </c>
      <c r="J32" s="22" t="s">
        <v>176</v>
      </c>
      <c r="K32" s="22" t="s">
        <v>176</v>
      </c>
      <c r="L32" s="22" t="s">
        <v>176</v>
      </c>
      <c r="M32" s="22" t="s">
        <v>176</v>
      </c>
      <c r="N32" s="22" t="s">
        <v>176</v>
      </c>
      <c r="O32" s="22" t="s">
        <v>176</v>
      </c>
      <c r="P32" s="22"/>
      <c r="Q32" s="22"/>
      <c r="R32" s="22"/>
      <c r="S32" s="22"/>
    </row>
    <row r="33" customFormat="false" ht="23.85" hidden="false" customHeight="false" outlineLevel="0" collapsed="false">
      <c r="A33" s="12" t="s">
        <v>365</v>
      </c>
      <c r="B33" s="4" t="s">
        <v>355</v>
      </c>
      <c r="C33" s="4" t="s">
        <v>366</v>
      </c>
      <c r="D33" s="19" t="s">
        <v>233</v>
      </c>
      <c r="E33" s="22" t="n">
        <v>2</v>
      </c>
      <c r="F33" s="22" t="s">
        <v>180</v>
      </c>
      <c r="G33" s="4" t="s">
        <v>367</v>
      </c>
      <c r="H33" s="4" t="s">
        <v>329</v>
      </c>
      <c r="I33" s="4" t="s">
        <v>368</v>
      </c>
      <c r="J33" s="22" t="s">
        <v>176</v>
      </c>
      <c r="K33" s="22" t="s">
        <v>176</v>
      </c>
      <c r="L33" s="22" t="s">
        <v>178</v>
      </c>
      <c r="M33" s="22" t="s">
        <v>178</v>
      </c>
      <c r="N33" s="22" t="s">
        <v>176</v>
      </c>
      <c r="O33" s="22" t="s">
        <v>180</v>
      </c>
      <c r="P33" s="22"/>
      <c r="Q33" s="22"/>
      <c r="R33" s="22"/>
      <c r="S33" s="22"/>
    </row>
    <row r="34" customFormat="false" ht="23.85" hidden="false" customHeight="false" outlineLevel="0" collapsed="false">
      <c r="A34" s="12" t="s">
        <v>369</v>
      </c>
      <c r="B34" s="4" t="s">
        <v>355</v>
      </c>
      <c r="C34" s="4" t="s">
        <v>370</v>
      </c>
      <c r="D34" s="19" t="s">
        <v>233</v>
      </c>
      <c r="E34" s="22" t="n">
        <v>1</v>
      </c>
      <c r="F34" s="22" t="s">
        <v>180</v>
      </c>
      <c r="G34" s="4" t="s">
        <v>328</v>
      </c>
      <c r="H34" s="4" t="s">
        <v>329</v>
      </c>
      <c r="I34" s="4" t="s">
        <v>371</v>
      </c>
      <c r="J34" s="22" t="s">
        <v>176</v>
      </c>
      <c r="K34" s="22" t="s">
        <v>176</v>
      </c>
      <c r="L34" s="22" t="s">
        <v>180</v>
      </c>
      <c r="M34" s="22" t="s">
        <v>178</v>
      </c>
      <c r="N34" s="22" t="s">
        <v>178</v>
      </c>
      <c r="O34" s="22" t="s">
        <v>180</v>
      </c>
      <c r="P34" s="22"/>
      <c r="Q34" s="22"/>
      <c r="R34" s="22"/>
      <c r="S34" s="22"/>
    </row>
    <row r="35" customFormat="false" ht="23.85" hidden="false" customHeight="false" outlineLevel="0" collapsed="false">
      <c r="A35" s="12" t="s">
        <v>372</v>
      </c>
      <c r="B35" s="4" t="s">
        <v>355</v>
      </c>
      <c r="C35" s="4" t="s">
        <v>373</v>
      </c>
      <c r="D35" s="19" t="s">
        <v>233</v>
      </c>
      <c r="E35" s="22" t="n">
        <v>2</v>
      </c>
      <c r="F35" s="22" t="s">
        <v>180</v>
      </c>
      <c r="G35" s="4" t="s">
        <v>374</v>
      </c>
      <c r="H35" s="4" t="s">
        <v>375</v>
      </c>
      <c r="I35" s="4" t="s">
        <v>376</v>
      </c>
      <c r="J35" s="22" t="s">
        <v>176</v>
      </c>
      <c r="K35" s="22" t="s">
        <v>176</v>
      </c>
      <c r="L35" s="22" t="s">
        <v>178</v>
      </c>
      <c r="M35" s="22" t="s">
        <v>176</v>
      </c>
      <c r="N35" s="22" t="s">
        <v>176</v>
      </c>
      <c r="O35" s="22" t="s">
        <v>178</v>
      </c>
      <c r="P35" s="22"/>
      <c r="Q35" s="22"/>
      <c r="R35" s="22"/>
      <c r="S35" s="22"/>
    </row>
    <row r="36" customFormat="false" ht="23.85" hidden="false" customHeight="false" outlineLevel="0" collapsed="false">
      <c r="A36" s="12" t="s">
        <v>377</v>
      </c>
      <c r="B36" s="4" t="s">
        <v>378</v>
      </c>
      <c r="C36" s="4" t="s">
        <v>379</v>
      </c>
      <c r="D36" s="19" t="s">
        <v>233</v>
      </c>
      <c r="E36" s="22" t="n">
        <v>3</v>
      </c>
      <c r="F36" s="22" t="s">
        <v>180</v>
      </c>
      <c r="G36" s="4" t="s">
        <v>380</v>
      </c>
      <c r="H36" s="4" t="s">
        <v>381</v>
      </c>
      <c r="I36" s="4" t="s">
        <v>382</v>
      </c>
      <c r="J36" s="22" t="s">
        <v>176</v>
      </c>
      <c r="K36" s="22" t="s">
        <v>176</v>
      </c>
      <c r="L36" s="22" t="s">
        <v>178</v>
      </c>
      <c r="M36" s="22" t="s">
        <v>176</v>
      </c>
      <c r="N36" s="22" t="s">
        <v>176</v>
      </c>
      <c r="O36" s="22" t="s">
        <v>176</v>
      </c>
      <c r="P36" s="22"/>
      <c r="Q36" s="22"/>
      <c r="R36" s="22"/>
      <c r="S36" s="22"/>
    </row>
    <row r="37" customFormat="false" ht="23.85" hidden="false" customHeight="false" outlineLevel="0" collapsed="false">
      <c r="A37" s="12" t="s">
        <v>383</v>
      </c>
      <c r="B37" s="4" t="s">
        <v>378</v>
      </c>
      <c r="C37" s="4" t="s">
        <v>384</v>
      </c>
      <c r="D37" s="19" t="s">
        <v>233</v>
      </c>
      <c r="E37" s="22" t="n">
        <v>2</v>
      </c>
      <c r="F37" s="22" t="s">
        <v>180</v>
      </c>
      <c r="G37" s="4" t="s">
        <v>385</v>
      </c>
      <c r="H37" s="4" t="s">
        <v>381</v>
      </c>
      <c r="I37" s="4" t="s">
        <v>386</v>
      </c>
      <c r="J37" s="22" t="s">
        <v>176</v>
      </c>
      <c r="K37" s="22" t="s">
        <v>178</v>
      </c>
      <c r="L37" s="22" t="s">
        <v>180</v>
      </c>
      <c r="M37" s="22" t="s">
        <v>180</v>
      </c>
      <c r="N37" s="22" t="s">
        <v>176</v>
      </c>
      <c r="O37" s="22" t="s">
        <v>180</v>
      </c>
      <c r="P37" s="22"/>
      <c r="Q37" s="22"/>
      <c r="R37" s="22"/>
      <c r="S37" s="22"/>
    </row>
    <row r="38" customFormat="false" ht="23.85" hidden="false" customHeight="false" outlineLevel="0" collapsed="false">
      <c r="A38" s="12" t="s">
        <v>387</v>
      </c>
      <c r="B38" s="4" t="s">
        <v>378</v>
      </c>
      <c r="C38" s="4" t="s">
        <v>388</v>
      </c>
      <c r="D38" s="19" t="s">
        <v>233</v>
      </c>
      <c r="E38" s="22" t="n">
        <v>2</v>
      </c>
      <c r="F38" s="22" t="s">
        <v>180</v>
      </c>
      <c r="G38" s="4" t="s">
        <v>389</v>
      </c>
      <c r="H38" s="4" t="s">
        <v>390</v>
      </c>
      <c r="I38" s="4" t="s">
        <v>391</v>
      </c>
      <c r="J38" s="22" t="s">
        <v>176</v>
      </c>
      <c r="K38" s="22" t="s">
        <v>176</v>
      </c>
      <c r="L38" s="22" t="s">
        <v>178</v>
      </c>
      <c r="M38" s="22" t="s">
        <v>178</v>
      </c>
      <c r="N38" s="22" t="s">
        <v>176</v>
      </c>
      <c r="O38" s="22" t="s">
        <v>178</v>
      </c>
      <c r="P38" s="22"/>
      <c r="Q38" s="22"/>
      <c r="R38" s="22"/>
      <c r="S38" s="22"/>
    </row>
    <row r="39" customFormat="false" ht="23.85" hidden="false" customHeight="false" outlineLevel="0" collapsed="false">
      <c r="A39" s="12" t="s">
        <v>392</v>
      </c>
      <c r="B39" s="4" t="s">
        <v>378</v>
      </c>
      <c r="C39" s="4" t="s">
        <v>393</v>
      </c>
      <c r="D39" s="19" t="s">
        <v>233</v>
      </c>
      <c r="E39" s="22" t="n">
        <v>1</v>
      </c>
      <c r="F39" s="22" t="s">
        <v>180</v>
      </c>
      <c r="G39" s="4" t="s">
        <v>394</v>
      </c>
      <c r="H39" s="4" t="s">
        <v>395</v>
      </c>
      <c r="I39" s="4" t="s">
        <v>396</v>
      </c>
      <c r="J39" s="22" t="s">
        <v>176</v>
      </c>
      <c r="K39" s="22" t="s">
        <v>176</v>
      </c>
      <c r="L39" s="22" t="s">
        <v>178</v>
      </c>
      <c r="M39" s="22" t="s">
        <v>176</v>
      </c>
      <c r="N39" s="22" t="s">
        <v>176</v>
      </c>
      <c r="O39" s="22" t="s">
        <v>176</v>
      </c>
      <c r="P39" s="22"/>
      <c r="Q39" s="22"/>
      <c r="R39" s="22"/>
      <c r="S39" s="22"/>
    </row>
    <row r="40" customFormat="false" ht="23.85" hidden="false" customHeight="false" outlineLevel="0" collapsed="false">
      <c r="A40" s="12" t="s">
        <v>397</v>
      </c>
      <c r="B40" s="4" t="s">
        <v>398</v>
      </c>
      <c r="C40" s="4" t="s">
        <v>399</v>
      </c>
      <c r="D40" s="19" t="s">
        <v>233</v>
      </c>
      <c r="E40" s="22" t="n">
        <v>2</v>
      </c>
      <c r="F40" s="22" t="s">
        <v>180</v>
      </c>
      <c r="G40" s="4" t="s">
        <v>400</v>
      </c>
      <c r="H40" s="4" t="s">
        <v>401</v>
      </c>
      <c r="I40" s="4" t="s">
        <v>402</v>
      </c>
      <c r="J40" s="22" t="s">
        <v>176</v>
      </c>
      <c r="K40" s="22" t="s">
        <v>176</v>
      </c>
      <c r="L40" s="22" t="s">
        <v>178</v>
      </c>
      <c r="M40" s="22" t="s">
        <v>176</v>
      </c>
      <c r="N40" s="22" t="s">
        <v>176</v>
      </c>
      <c r="O40" s="22" t="s">
        <v>178</v>
      </c>
      <c r="P40" s="22"/>
      <c r="Q40" s="22"/>
      <c r="R40" s="22"/>
      <c r="S40" s="22"/>
    </row>
    <row r="41" customFormat="false" ht="23.85" hidden="false" customHeight="false" outlineLevel="0" collapsed="false">
      <c r="A41" s="12" t="s">
        <v>403</v>
      </c>
      <c r="B41" s="4" t="s">
        <v>398</v>
      </c>
      <c r="C41" s="4" t="s">
        <v>404</v>
      </c>
      <c r="D41" s="19" t="s">
        <v>233</v>
      </c>
      <c r="E41" s="22" t="n">
        <v>3</v>
      </c>
      <c r="F41" s="22" t="s">
        <v>180</v>
      </c>
      <c r="G41" s="4" t="s">
        <v>405</v>
      </c>
      <c r="H41" s="4" t="s">
        <v>406</v>
      </c>
      <c r="I41" s="4" t="s">
        <v>407</v>
      </c>
      <c r="J41" s="22" t="s">
        <v>176</v>
      </c>
      <c r="K41" s="22" t="s">
        <v>178</v>
      </c>
      <c r="L41" s="22" t="s">
        <v>180</v>
      </c>
      <c r="M41" s="22" t="s">
        <v>178</v>
      </c>
      <c r="N41" s="22" t="s">
        <v>176</v>
      </c>
      <c r="O41" s="22" t="s">
        <v>178</v>
      </c>
      <c r="P41" s="22"/>
      <c r="Q41" s="22"/>
      <c r="R41" s="22"/>
      <c r="S41" s="22"/>
    </row>
    <row r="42" customFormat="false" ht="23.85" hidden="false" customHeight="false" outlineLevel="0" collapsed="false">
      <c r="A42" s="12" t="s">
        <v>408</v>
      </c>
      <c r="B42" s="4" t="s">
        <v>398</v>
      </c>
      <c r="C42" s="4" t="s">
        <v>409</v>
      </c>
      <c r="D42" s="19" t="s">
        <v>233</v>
      </c>
      <c r="E42" s="22" t="n">
        <v>1</v>
      </c>
      <c r="F42" s="22" t="s">
        <v>180</v>
      </c>
      <c r="G42" s="4" t="s">
        <v>410</v>
      </c>
      <c r="H42" s="4" t="s">
        <v>310</v>
      </c>
      <c r="I42" s="4" t="s">
        <v>411</v>
      </c>
      <c r="J42" s="22" t="s">
        <v>178</v>
      </c>
      <c r="K42" s="22" t="s">
        <v>176</v>
      </c>
      <c r="L42" s="22" t="s">
        <v>176</v>
      </c>
      <c r="M42" s="22" t="s">
        <v>176</v>
      </c>
      <c r="N42" s="22" t="s">
        <v>178</v>
      </c>
      <c r="O42" s="22" t="s">
        <v>176</v>
      </c>
      <c r="P42" s="22"/>
      <c r="Q42" s="22"/>
      <c r="R42" s="22"/>
      <c r="S42" s="22"/>
    </row>
    <row r="43" customFormat="false" ht="23.85" hidden="false" customHeight="false" outlineLevel="0" collapsed="false">
      <c r="A43" s="12" t="s">
        <v>412</v>
      </c>
      <c r="B43" s="4" t="s">
        <v>398</v>
      </c>
      <c r="C43" s="4" t="s">
        <v>413</v>
      </c>
      <c r="D43" s="19" t="s">
        <v>233</v>
      </c>
      <c r="E43" s="22" t="n">
        <v>1</v>
      </c>
      <c r="F43" s="22" t="s">
        <v>180</v>
      </c>
      <c r="G43" s="4" t="s">
        <v>414</v>
      </c>
      <c r="H43" s="4" t="s">
        <v>415</v>
      </c>
      <c r="I43" s="4" t="s">
        <v>416</v>
      </c>
      <c r="J43" s="22" t="s">
        <v>178</v>
      </c>
      <c r="K43" s="22" t="s">
        <v>176</v>
      </c>
      <c r="L43" s="22" t="s">
        <v>176</v>
      </c>
      <c r="M43" s="22" t="s">
        <v>176</v>
      </c>
      <c r="N43" s="22" t="s">
        <v>176</v>
      </c>
      <c r="O43" s="22" t="s">
        <v>176</v>
      </c>
      <c r="P43" s="22"/>
      <c r="Q43" s="22"/>
      <c r="R43" s="22"/>
      <c r="S43" s="22"/>
    </row>
    <row r="44" customFormat="false" ht="35.05" hidden="false" customHeight="false" outlineLevel="0" collapsed="false">
      <c r="A44" s="12" t="s">
        <v>417</v>
      </c>
      <c r="B44" s="4" t="s">
        <v>418</v>
      </c>
      <c r="C44" s="4" t="s">
        <v>419</v>
      </c>
      <c r="D44" s="19" t="s">
        <v>233</v>
      </c>
      <c r="E44" s="22" t="n">
        <v>3</v>
      </c>
      <c r="F44" s="22" t="s">
        <v>176</v>
      </c>
      <c r="G44" s="4" t="s">
        <v>295</v>
      </c>
      <c r="H44" s="4" t="s">
        <v>296</v>
      </c>
      <c r="I44" s="4" t="s">
        <v>420</v>
      </c>
      <c r="J44" s="22" t="s">
        <v>176</v>
      </c>
      <c r="K44" s="22" t="s">
        <v>176</v>
      </c>
      <c r="L44" s="22" t="s">
        <v>176</v>
      </c>
      <c r="M44" s="22" t="s">
        <v>176</v>
      </c>
      <c r="N44" s="22" t="s">
        <v>176</v>
      </c>
      <c r="O44" s="22" t="s">
        <v>176</v>
      </c>
      <c r="P44" s="22"/>
      <c r="Q44" s="22"/>
      <c r="R44" s="22"/>
      <c r="S44" s="22"/>
    </row>
    <row r="45" customFormat="false" ht="23.85" hidden="false" customHeight="false" outlineLevel="0" collapsed="false">
      <c r="A45" s="12" t="s">
        <v>421</v>
      </c>
      <c r="B45" s="4" t="s">
        <v>418</v>
      </c>
      <c r="C45" s="4" t="s">
        <v>422</v>
      </c>
      <c r="D45" s="19" t="s">
        <v>233</v>
      </c>
      <c r="E45" s="22" t="n">
        <v>2</v>
      </c>
      <c r="F45" s="22" t="s">
        <v>180</v>
      </c>
      <c r="G45" s="4" t="s">
        <v>410</v>
      </c>
      <c r="H45" s="4" t="s">
        <v>310</v>
      </c>
      <c r="I45" s="4" t="s">
        <v>423</v>
      </c>
      <c r="J45" s="22" t="s">
        <v>176</v>
      </c>
      <c r="K45" s="22" t="s">
        <v>176</v>
      </c>
      <c r="L45" s="22" t="s">
        <v>178</v>
      </c>
      <c r="M45" s="22" t="s">
        <v>178</v>
      </c>
      <c r="N45" s="22" t="s">
        <v>176</v>
      </c>
      <c r="O45" s="22" t="s">
        <v>176</v>
      </c>
      <c r="P45" s="22"/>
      <c r="Q45" s="22"/>
      <c r="R45" s="22"/>
      <c r="S45" s="22"/>
    </row>
    <row r="46" customFormat="false" ht="23.85" hidden="false" customHeight="false" outlineLevel="0" collapsed="false">
      <c r="A46" s="12" t="s">
        <v>424</v>
      </c>
      <c r="B46" s="4" t="s">
        <v>418</v>
      </c>
      <c r="C46" s="4" t="s">
        <v>425</v>
      </c>
      <c r="D46" s="19" t="s">
        <v>233</v>
      </c>
      <c r="E46" s="22" t="n">
        <v>1</v>
      </c>
      <c r="F46" s="22" t="s">
        <v>180</v>
      </c>
      <c r="G46" s="4" t="s">
        <v>426</v>
      </c>
      <c r="H46" s="4" t="s">
        <v>310</v>
      </c>
      <c r="I46" s="4" t="s">
        <v>427</v>
      </c>
      <c r="J46" s="22" t="s">
        <v>176</v>
      </c>
      <c r="K46" s="22" t="s">
        <v>180</v>
      </c>
      <c r="L46" s="22" t="s">
        <v>176</v>
      </c>
      <c r="M46" s="22" t="s">
        <v>180</v>
      </c>
      <c r="N46" s="22" t="s">
        <v>178</v>
      </c>
      <c r="O46" s="22" t="s">
        <v>180</v>
      </c>
      <c r="P46" s="22"/>
      <c r="Q46" s="22"/>
      <c r="R46" s="22"/>
      <c r="S46" s="22"/>
    </row>
    <row r="47" customFormat="false" ht="23.85" hidden="false" customHeight="false" outlineLevel="0" collapsed="false">
      <c r="A47" s="12" t="s">
        <v>428</v>
      </c>
      <c r="B47" s="4" t="s">
        <v>418</v>
      </c>
      <c r="C47" s="4" t="s">
        <v>429</v>
      </c>
      <c r="D47" s="19" t="s">
        <v>233</v>
      </c>
      <c r="E47" s="22" t="n">
        <v>2</v>
      </c>
      <c r="F47" s="22" t="s">
        <v>180</v>
      </c>
      <c r="G47" s="4" t="s">
        <v>430</v>
      </c>
      <c r="H47" s="4" t="s">
        <v>296</v>
      </c>
      <c r="I47" s="4" t="s">
        <v>431</v>
      </c>
      <c r="J47" s="22" t="s">
        <v>176</v>
      </c>
      <c r="K47" s="22" t="s">
        <v>176</v>
      </c>
      <c r="L47" s="22" t="s">
        <v>178</v>
      </c>
      <c r="M47" s="22" t="s">
        <v>176</v>
      </c>
      <c r="N47" s="22" t="s">
        <v>176</v>
      </c>
      <c r="O47" s="22" t="s">
        <v>178</v>
      </c>
      <c r="P47" s="22"/>
      <c r="Q47" s="22"/>
      <c r="R47" s="22"/>
      <c r="S47" s="22"/>
    </row>
    <row r="48" customFormat="false" ht="35.05" hidden="false" customHeight="false" outlineLevel="0" collapsed="false">
      <c r="A48" s="12" t="s">
        <v>432</v>
      </c>
      <c r="B48" s="4" t="s">
        <v>433</v>
      </c>
      <c r="C48" s="4" t="s">
        <v>434</v>
      </c>
      <c r="D48" s="19" t="s">
        <v>435</v>
      </c>
      <c r="E48" s="22" t="n">
        <v>3</v>
      </c>
      <c r="F48" s="22" t="s">
        <v>180</v>
      </c>
      <c r="G48" s="4" t="s">
        <v>436</v>
      </c>
      <c r="H48" s="4" t="s">
        <v>437</v>
      </c>
      <c r="I48" s="4" t="s">
        <v>438</v>
      </c>
      <c r="J48" s="22" t="s">
        <v>182</v>
      </c>
      <c r="K48" s="22" t="s">
        <v>178</v>
      </c>
      <c r="L48" s="22" t="s">
        <v>182</v>
      </c>
      <c r="M48" s="22" t="s">
        <v>176</v>
      </c>
      <c r="N48" s="22" t="s">
        <v>182</v>
      </c>
      <c r="O48" s="22" t="s">
        <v>182</v>
      </c>
      <c r="P48" s="22"/>
      <c r="Q48" s="22"/>
      <c r="R48" s="22"/>
      <c r="S48" s="22"/>
    </row>
    <row r="49" customFormat="false" ht="35.05" hidden="false" customHeight="false" outlineLevel="0" collapsed="false">
      <c r="A49" s="12" t="s">
        <v>439</v>
      </c>
      <c r="B49" s="4" t="s">
        <v>433</v>
      </c>
      <c r="C49" s="4" t="s">
        <v>440</v>
      </c>
      <c r="D49" s="19" t="s">
        <v>435</v>
      </c>
      <c r="E49" s="22" t="n">
        <v>3</v>
      </c>
      <c r="F49" s="22" t="s">
        <v>176</v>
      </c>
      <c r="G49" s="4" t="s">
        <v>441</v>
      </c>
      <c r="H49" s="4" t="s">
        <v>442</v>
      </c>
      <c r="I49" s="4" t="s">
        <v>443</v>
      </c>
      <c r="J49" s="22" t="s">
        <v>182</v>
      </c>
      <c r="K49" s="22" t="s">
        <v>180</v>
      </c>
      <c r="L49" s="22" t="s">
        <v>182</v>
      </c>
      <c r="M49" s="22" t="s">
        <v>176</v>
      </c>
      <c r="N49" s="22" t="s">
        <v>182</v>
      </c>
      <c r="O49" s="22" t="s">
        <v>182</v>
      </c>
      <c r="P49" s="22"/>
      <c r="Q49" s="22"/>
      <c r="R49" s="22"/>
      <c r="S49" s="22"/>
    </row>
    <row r="50" customFormat="false" ht="23.85" hidden="false" customHeight="false" outlineLevel="0" collapsed="false">
      <c r="A50" s="12" t="s">
        <v>444</v>
      </c>
      <c r="B50" s="4" t="s">
        <v>433</v>
      </c>
      <c r="C50" s="4" t="s">
        <v>445</v>
      </c>
      <c r="D50" s="19" t="s">
        <v>435</v>
      </c>
      <c r="E50" s="22" t="n">
        <v>2</v>
      </c>
      <c r="F50" s="22" t="s">
        <v>180</v>
      </c>
      <c r="G50" s="4" t="s">
        <v>446</v>
      </c>
      <c r="H50" s="4" t="s">
        <v>447</v>
      </c>
      <c r="I50" s="4" t="s">
        <v>448</v>
      </c>
      <c r="J50" s="22" t="s">
        <v>182</v>
      </c>
      <c r="K50" s="22" t="s">
        <v>178</v>
      </c>
      <c r="L50" s="22" t="s">
        <v>182</v>
      </c>
      <c r="M50" s="22" t="s">
        <v>178</v>
      </c>
      <c r="N50" s="22" t="s">
        <v>182</v>
      </c>
      <c r="O50" s="22" t="s">
        <v>182</v>
      </c>
      <c r="P50" s="22"/>
      <c r="Q50" s="22"/>
      <c r="R50" s="22"/>
      <c r="S50" s="22"/>
    </row>
    <row r="51" customFormat="false" ht="23.85" hidden="false" customHeight="false" outlineLevel="0" collapsed="false">
      <c r="A51" s="12" t="s">
        <v>449</v>
      </c>
      <c r="B51" s="4" t="s">
        <v>433</v>
      </c>
      <c r="C51" s="4" t="s">
        <v>450</v>
      </c>
      <c r="D51" s="19" t="s">
        <v>435</v>
      </c>
      <c r="E51" s="22" t="n">
        <v>2</v>
      </c>
      <c r="F51" s="22" t="s">
        <v>180</v>
      </c>
      <c r="G51" s="4" t="s">
        <v>451</v>
      </c>
      <c r="H51" s="4" t="s">
        <v>452</v>
      </c>
      <c r="I51" s="4" t="s">
        <v>453</v>
      </c>
      <c r="J51" s="22" t="s">
        <v>182</v>
      </c>
      <c r="K51" s="22" t="s">
        <v>176</v>
      </c>
      <c r="L51" s="22" t="s">
        <v>182</v>
      </c>
      <c r="M51" s="22" t="s">
        <v>178</v>
      </c>
      <c r="N51" s="22" t="s">
        <v>182</v>
      </c>
      <c r="O51" s="22" t="s">
        <v>182</v>
      </c>
      <c r="P51" s="22"/>
      <c r="Q51" s="22"/>
      <c r="R51" s="22"/>
      <c r="S51" s="22"/>
    </row>
    <row r="52" customFormat="false" ht="35.05" hidden="false" customHeight="false" outlineLevel="0" collapsed="false">
      <c r="A52" s="12" t="s">
        <v>454</v>
      </c>
      <c r="B52" s="4" t="s">
        <v>433</v>
      </c>
      <c r="C52" s="4" t="s">
        <v>455</v>
      </c>
      <c r="D52" s="19" t="s">
        <v>435</v>
      </c>
      <c r="E52" s="22" t="n">
        <v>3</v>
      </c>
      <c r="F52" s="22" t="s">
        <v>180</v>
      </c>
      <c r="G52" s="4" t="s">
        <v>456</v>
      </c>
      <c r="H52" s="4" t="s">
        <v>457</v>
      </c>
      <c r="I52" s="4" t="s">
        <v>458</v>
      </c>
      <c r="J52" s="22" t="s">
        <v>182</v>
      </c>
      <c r="K52" s="22" t="s">
        <v>178</v>
      </c>
      <c r="L52" s="22" t="s">
        <v>182</v>
      </c>
      <c r="M52" s="22" t="s">
        <v>178</v>
      </c>
      <c r="N52" s="22" t="s">
        <v>182</v>
      </c>
      <c r="O52" s="22" t="s">
        <v>182</v>
      </c>
      <c r="P52" s="22"/>
      <c r="Q52" s="22"/>
      <c r="R52" s="22"/>
      <c r="S52" s="22"/>
    </row>
    <row r="53" customFormat="false" ht="23.85" hidden="false" customHeight="false" outlineLevel="0" collapsed="false">
      <c r="A53" s="12" t="s">
        <v>459</v>
      </c>
      <c r="B53" s="4" t="s">
        <v>433</v>
      </c>
      <c r="C53" s="4" t="s">
        <v>460</v>
      </c>
      <c r="D53" s="19" t="s">
        <v>435</v>
      </c>
      <c r="E53" s="22" t="n">
        <v>2</v>
      </c>
      <c r="F53" s="22" t="s">
        <v>180</v>
      </c>
      <c r="G53" s="4" t="s">
        <v>461</v>
      </c>
      <c r="H53" s="4" t="s">
        <v>462</v>
      </c>
      <c r="I53" s="4" t="s">
        <v>463</v>
      </c>
      <c r="J53" s="22" t="s">
        <v>182</v>
      </c>
      <c r="K53" s="22" t="s">
        <v>176</v>
      </c>
      <c r="L53" s="22" t="s">
        <v>182</v>
      </c>
      <c r="M53" s="22" t="s">
        <v>176</v>
      </c>
      <c r="N53" s="22" t="s">
        <v>182</v>
      </c>
      <c r="O53" s="22" t="s">
        <v>182</v>
      </c>
      <c r="P53" s="22"/>
      <c r="Q53" s="22"/>
      <c r="R53" s="22"/>
      <c r="S53" s="22"/>
    </row>
    <row r="54" customFormat="false" ht="46.25" hidden="false" customHeight="false" outlineLevel="0" collapsed="false">
      <c r="A54" s="12" t="s">
        <v>464</v>
      </c>
      <c r="B54" s="4" t="s">
        <v>433</v>
      </c>
      <c r="C54" s="4" t="s">
        <v>465</v>
      </c>
      <c r="D54" s="19" t="s">
        <v>435</v>
      </c>
      <c r="E54" s="22" t="n">
        <v>3</v>
      </c>
      <c r="F54" s="22" t="s">
        <v>180</v>
      </c>
      <c r="G54" s="4" t="s">
        <v>466</v>
      </c>
      <c r="H54" s="4" t="s">
        <v>467</v>
      </c>
      <c r="I54" s="4" t="s">
        <v>468</v>
      </c>
      <c r="J54" s="22" t="s">
        <v>182</v>
      </c>
      <c r="K54" s="22" t="s">
        <v>178</v>
      </c>
      <c r="L54" s="22" t="s">
        <v>182</v>
      </c>
      <c r="M54" s="22" t="s">
        <v>178</v>
      </c>
      <c r="N54" s="22" t="s">
        <v>182</v>
      </c>
      <c r="O54" s="22" t="s">
        <v>182</v>
      </c>
      <c r="P54" s="22"/>
      <c r="Q54" s="22"/>
      <c r="R54" s="22"/>
      <c r="S54" s="22"/>
    </row>
    <row r="55" customFormat="false" ht="35.05" hidden="false" customHeight="false" outlineLevel="0" collapsed="false">
      <c r="A55" s="12" t="s">
        <v>469</v>
      </c>
      <c r="B55" s="4" t="s">
        <v>433</v>
      </c>
      <c r="C55" s="4" t="s">
        <v>470</v>
      </c>
      <c r="D55" s="19" t="s">
        <v>435</v>
      </c>
      <c r="E55" s="22" t="n">
        <v>2</v>
      </c>
      <c r="F55" s="22" t="s">
        <v>180</v>
      </c>
      <c r="G55" s="4" t="s">
        <v>471</v>
      </c>
      <c r="H55" s="4" t="s">
        <v>472</v>
      </c>
      <c r="I55" s="4" t="s">
        <v>473</v>
      </c>
      <c r="J55" s="22" t="s">
        <v>182</v>
      </c>
      <c r="K55" s="22" t="s">
        <v>180</v>
      </c>
      <c r="L55" s="22" t="s">
        <v>182</v>
      </c>
      <c r="M55" s="22" t="s">
        <v>180</v>
      </c>
      <c r="N55" s="22" t="s">
        <v>182</v>
      </c>
      <c r="O55" s="22" t="s">
        <v>182</v>
      </c>
      <c r="P55" s="22"/>
      <c r="Q55" s="22"/>
      <c r="R55" s="22"/>
      <c r="S55" s="22"/>
    </row>
    <row r="57" customFormat="false" ht="15" hidden="false" customHeight="false" outlineLevel="0" collapsed="false">
      <c r="A57" s="2" t="s">
        <v>474</v>
      </c>
    </row>
    <row r="58" customFormat="false" ht="15" hidden="false" customHeight="false" outlineLevel="0" collapsed="false">
      <c r="A58" s="2" t="s">
        <v>475</v>
      </c>
    </row>
  </sheetData>
  <conditionalFormatting sqref="J5:S55">
    <cfRule type="cellIs" priority="2" operator="equal" aboveAverage="0" equalAverage="0" bottom="0" percent="0" rank="0" text="" dxfId="6">
      <formula>"Yes"</formula>
    </cfRule>
    <cfRule type="cellIs" priority="3" operator="equal" aboveAverage="0" equalAverage="0" bottom="0" percent="0" rank="0" text="" dxfId="5">
      <formula>"Partial"</formula>
    </cfRule>
    <cfRule type="cellIs" priority="4" operator="equal" aboveAverage="0" equalAverage="0" bottom="0" percent="0" rank="0" text="" dxfId="7">
      <formula>"No"</formula>
    </cfRule>
    <cfRule type="cellIs" priority="5" operator="equal" aboveAverage="0" equalAverage="0" bottom="0" percent="0" rank="0" text="" dxfId="8">
      <formula>"N/A"</formula>
    </cfRule>
  </conditionalFormatting>
  <dataValidations count="4">
    <dataValidation allowBlank="true" error="Please choose a value from the list." errorStyle="stop" errorTitle="Invalid entry" operator="between" showDropDown="false" showErrorMessage="false" showInputMessage="false" sqref="J5:S55" type="list">
      <formula1>"Yes,Partial,No,N/A"</formula1>
      <formula2>0</formula2>
    </dataValidation>
    <dataValidation allowBlank="true" error="Enter a whole number from 1 to 3." errorStyle="stop" errorTitle="Invalid score" operator="between" showDropDown="false" showErrorMessage="false" showInputMessage="false" sqref="E5:E55" type="whole">
      <formula1>1</formula1>
      <formula2>3</formula2>
    </dataValidation>
    <dataValidation allowBlank="true" error="Please choose a value from the list." errorStyle="stop" errorTitle="Invalid entry" operator="between" showDropDown="false" showErrorMessage="false" showInputMessage="false" sqref="F5:F55" type="list">
      <formula1>"Yes,No"</formula1>
      <formula2>0</formula2>
    </dataValidation>
    <dataValidation allowBlank="true" error="Please choose a value from the list." errorStyle="stop" errorTitle="Invalid entry" operator="between" showDropDown="false" showErrorMessage="false" showInputMessage="false" sqref="D5:D55" type="list">
      <formula1>"All,AI,Cloud"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FAADC"/>
    <pageSetUpPr fitToPage="true"/>
  </sheetPr>
  <dimension ref="A1:O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15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15" min="6" style="0" width="16"/>
  </cols>
  <sheetData>
    <row r="1" customFormat="false" ht="19.7" hidden="false" customHeight="false" outlineLevel="0" collapsed="false">
      <c r="A1" s="1" t="s">
        <v>476</v>
      </c>
    </row>
    <row r="2" customFormat="false" ht="15" hidden="false" customHeight="false" outlineLevel="0" collapsed="false">
      <c r="A2" s="2" t="s">
        <v>477</v>
      </c>
    </row>
    <row r="5" customFormat="false" ht="61.5" hidden="false" customHeight="true" outlineLevel="0" collapsed="false">
      <c r="A5" s="10" t="s">
        <v>53</v>
      </c>
      <c r="B5" s="10" t="s">
        <v>54</v>
      </c>
      <c r="C5" s="10" t="s">
        <v>478</v>
      </c>
      <c r="D5" s="10" t="s">
        <v>479</v>
      </c>
      <c r="E5" s="10" t="s">
        <v>66</v>
      </c>
      <c r="F5" s="10" t="s">
        <v>231</v>
      </c>
      <c r="G5" s="10" t="s">
        <v>258</v>
      </c>
      <c r="H5" s="10" t="s">
        <v>280</v>
      </c>
      <c r="I5" s="10" t="s">
        <v>307</v>
      </c>
      <c r="J5" s="10" t="s">
        <v>331</v>
      </c>
      <c r="K5" s="10" t="s">
        <v>355</v>
      </c>
      <c r="L5" s="10" t="s">
        <v>378</v>
      </c>
      <c r="M5" s="10" t="s">
        <v>398</v>
      </c>
      <c r="N5" s="10" t="s">
        <v>418</v>
      </c>
      <c r="O5" s="10" t="s">
        <v>433</v>
      </c>
    </row>
    <row r="6" customFormat="false" ht="15" hidden="false" customHeight="false" outlineLevel="0" collapsed="false">
      <c r="A6" s="4" t="str">
        <f aca="false">IF(Vendor_Register!A6="","",Vendor_Register!A6)</f>
        <v>V-001</v>
      </c>
      <c r="B6" s="4" t="str">
        <f aca="false">IF(A6="","",Vendor_Register!B6)</f>
        <v>Stratus Cloud Infrastructure</v>
      </c>
      <c r="C6" s="20" t="n">
        <f aca="false">IF($A6="","",IFERROR(SUMPRODUCT(Questionnaire!$E$5:$E$55*((Questionnaire!J$5:J$55="Yes")*Methodology!$B$27+(Questionnaire!J$5:J$55="Partial")*Methodology!$B$28+(Questionnaire!J$5:J$55="No")*Methodology!$B$29))/SUMPRODUCT(Questionnaire!$E$5:$E$55*((Questionnaire!J$5:J$55="Yes")+(Questionnaire!J$5:J$55="Partial")+(Questionnaire!J$5:J$55="No"))),""))</f>
        <v>0.961538461538462</v>
      </c>
      <c r="D6" s="20" t="n">
        <f aca="false">IF($A6="","",SUMPRODUCT(--(Questionnaire!J$5:J$55&lt;&gt;""))/ROWS(Questionnaire!$A$5:$A$55))</f>
        <v>1</v>
      </c>
      <c r="E6" s="19" t="n">
        <f aca="false">IF($A6="","",SUMPRODUCT((Questionnaire!$F$5:$F$55="Yes")*(Questionnaire!J$5:J$55="No")))</f>
        <v>0</v>
      </c>
      <c r="F6" s="20" t="n">
        <f aca="false">IF($A6="","",IFERROR(SUMPRODUCT((Questionnaire!$B$5:$B$55=F$5)*Questionnaire!$E$5:$E$55*((Questionnaire!J$5:J$55="Yes")*Methodology!$B$27+(Questionnaire!J$5:J$55="Partial")*Methodology!$B$28+(Questionnaire!J$5:J$55="No")*Methodology!$B$29))/SUMPRODUCT((Questionnaire!$B$5:$B$55=F$5)*Questionnaire!$E$5:$E$55*((Questionnaire!J$5:J$55="Yes")+(Questionnaire!J$5:J$55="Partial")+(Questionnaire!J$5:J$55="No"))),"N/A"))</f>
        <v>0.916666666666667</v>
      </c>
      <c r="G6" s="20" t="n">
        <f aca="false">IF($A6="","",IFERROR(SUMPRODUCT((Questionnaire!$B$5:$B$55=G$5)*Questionnaire!$E$5:$E$55*((Questionnaire!J$5:J$55="Yes")*Methodology!$B$27+(Questionnaire!J$5:J$55="Partial")*Methodology!$B$28+(Questionnaire!J$5:J$55="No")*Methodology!$B$29))/SUMPRODUCT((Questionnaire!$B$5:$B$55=G$5)*Questionnaire!$E$5:$E$55*((Questionnaire!J$5:J$55="Yes")+(Questionnaire!J$5:J$55="Partial")+(Questionnaire!J$5:J$55="No"))),"N/A"))</f>
        <v>1</v>
      </c>
      <c r="H6" s="20" t="n">
        <f aca="false">IF($A6="","",IFERROR(SUMPRODUCT((Questionnaire!$B$5:$B$55=H$5)*Questionnaire!$E$5:$E$55*((Questionnaire!J$5:J$55="Yes")*Methodology!$B$27+(Questionnaire!J$5:J$55="Partial")*Methodology!$B$28+(Questionnaire!J$5:J$55="No")*Methodology!$B$29))/SUMPRODUCT((Questionnaire!$B$5:$B$55=H$5)*Questionnaire!$E$5:$E$55*((Questionnaire!J$5:J$55="Yes")+(Questionnaire!J$5:J$55="Partial")+(Questionnaire!J$5:J$55="No"))),"N/A"))</f>
        <v>0.928571428571429</v>
      </c>
      <c r="I6" s="20" t="n">
        <f aca="false">IF($A6="","",IFERROR(SUMPRODUCT((Questionnaire!$B$5:$B$55=I$5)*Questionnaire!$E$5:$E$55*((Questionnaire!J$5:J$55="Yes")*Methodology!$B$27+(Questionnaire!J$5:J$55="Partial")*Methodology!$B$28+(Questionnaire!J$5:J$55="No")*Methodology!$B$29))/SUMPRODUCT((Questionnaire!$B$5:$B$55=I$5)*Questionnaire!$E$5:$E$55*((Questionnaire!J$5:J$55="Yes")+(Questionnaire!J$5:J$55="Partial")+(Questionnaire!J$5:J$55="No"))),"N/A"))</f>
        <v>0.944444444444444</v>
      </c>
      <c r="J6" s="20" t="n">
        <f aca="false">IF($A6="","",IFERROR(SUMPRODUCT((Questionnaire!$B$5:$B$55=J$5)*Questionnaire!$E$5:$E$55*((Questionnaire!J$5:J$55="Yes")*Methodology!$B$27+(Questionnaire!J$5:J$55="Partial")*Methodology!$B$28+(Questionnaire!J$5:J$55="No")*Methodology!$B$29))/SUMPRODUCT((Questionnaire!$B$5:$B$55=J$5)*Questionnaire!$E$5:$E$55*((Questionnaire!J$5:J$55="Yes")+(Questionnaire!J$5:J$55="Partial")+(Questionnaire!J$5:J$55="No"))),"N/A"))</f>
        <v>1</v>
      </c>
      <c r="K6" s="20" t="n">
        <f aca="false">IF($A6="","",IFERROR(SUMPRODUCT((Questionnaire!$B$5:$B$55=K$5)*Questionnaire!$E$5:$E$55*((Questionnaire!J$5:J$55="Yes")*Methodology!$B$27+(Questionnaire!J$5:J$55="Partial")*Methodology!$B$28+(Questionnaire!J$5:J$55="No")*Methodology!$B$29))/SUMPRODUCT((Questionnaire!$B$5:$B$55=K$5)*Questionnaire!$E$5:$E$55*((Questionnaire!J$5:J$55="Yes")+(Questionnaire!J$5:J$55="Partial")+(Questionnaire!J$5:J$55="No"))),"N/A"))</f>
        <v>1</v>
      </c>
      <c r="L6" s="20" t="n">
        <f aca="false">IF($A6="","",IFERROR(SUMPRODUCT((Questionnaire!$B$5:$B$55=L$5)*Questionnaire!$E$5:$E$55*((Questionnaire!J$5:J$55="Yes")*Methodology!$B$27+(Questionnaire!J$5:J$55="Partial")*Methodology!$B$28+(Questionnaire!J$5:J$55="No")*Methodology!$B$29))/SUMPRODUCT((Questionnaire!$B$5:$B$55=L$5)*Questionnaire!$E$5:$E$55*((Questionnaire!J$5:J$55="Yes")+(Questionnaire!J$5:J$55="Partial")+(Questionnaire!J$5:J$55="No"))),"N/A"))</f>
        <v>1</v>
      </c>
      <c r="M6" s="20" t="n">
        <f aca="false">IF($A6="","",IFERROR(SUMPRODUCT((Questionnaire!$B$5:$B$55=M$5)*Questionnaire!$E$5:$E$55*((Questionnaire!J$5:J$55="Yes")*Methodology!$B$27+(Questionnaire!J$5:J$55="Partial")*Methodology!$B$28+(Questionnaire!J$5:J$55="No")*Methodology!$B$29))/SUMPRODUCT((Questionnaire!$B$5:$B$55=M$5)*Questionnaire!$E$5:$E$55*((Questionnaire!J$5:J$55="Yes")+(Questionnaire!J$5:J$55="Partial")+(Questionnaire!J$5:J$55="No"))),"N/A"))</f>
        <v>0.857142857142857</v>
      </c>
      <c r="N6" s="20" t="n">
        <f aca="false">IF($A6="","",IFERROR(SUMPRODUCT((Questionnaire!$B$5:$B$55=N$5)*Questionnaire!$E$5:$E$55*((Questionnaire!J$5:J$55="Yes")*Methodology!$B$27+(Questionnaire!J$5:J$55="Partial")*Methodology!$B$28+(Questionnaire!J$5:J$55="No")*Methodology!$B$29))/SUMPRODUCT((Questionnaire!$B$5:$B$55=N$5)*Questionnaire!$E$5:$E$55*((Questionnaire!J$5:J$55="Yes")+(Questionnaire!J$5:J$55="Partial")+(Questionnaire!J$5:J$55="No"))),"N/A"))</f>
        <v>1</v>
      </c>
      <c r="O6" s="20" t="str">
        <f aca="false">IF($A6="","",IFERROR(SUMPRODUCT((Questionnaire!$B$5:$B$55=O$5)*Questionnaire!$E$5:$E$55*((Questionnaire!J$5:J$55="Yes")*Methodology!$B$27+(Questionnaire!J$5:J$55="Partial")*Methodology!$B$28+(Questionnaire!J$5:J$55="No")*Methodology!$B$29))/SUMPRODUCT((Questionnaire!$B$5:$B$55=O$5)*Questionnaire!$E$5:$E$55*((Questionnaire!J$5:J$55="Yes")+(Questionnaire!J$5:J$55="Partial")+(Questionnaire!J$5:J$55="No"))),"N/A"))</f>
        <v>N/A</v>
      </c>
    </row>
    <row r="7" customFormat="false" ht="15" hidden="false" customHeight="false" outlineLevel="0" collapsed="false">
      <c r="A7" s="4" t="str">
        <f aca="false">IF(Vendor_Register!A7="","",Vendor_Register!A7)</f>
        <v>V-002</v>
      </c>
      <c r="B7" s="4" t="str">
        <f aca="false">IF(A7="","",Vendor_Register!B7)</f>
        <v>NimbusAI Language Platform</v>
      </c>
      <c r="C7" s="20" t="n">
        <f aca="false">IF($A7="","",IFERROR(SUMPRODUCT(Questionnaire!$E$5:$E$55*((Questionnaire!K$5:K$55="Yes")*Methodology!$B$27+(Questionnaire!K$5:K$55="Partial")*Methodology!$B$28+(Questionnaire!K$5:K$55="No")*Methodology!$B$29))/SUMPRODUCT(Questionnaire!$E$5:$E$55*((Questionnaire!K$5:K$55="Yes")+(Questionnaire!K$5:K$55="Partial")+(Questionnaire!K$5:K$55="No"))),""))</f>
        <v>0.815315315315315</v>
      </c>
      <c r="D7" s="20" t="n">
        <f aca="false">IF($A7="","",SUMPRODUCT(--(Questionnaire!K$5:K$55&lt;&gt;""))/ROWS(Questionnaire!$A$5:$A$55))</f>
        <v>1</v>
      </c>
      <c r="E7" s="19" t="n">
        <f aca="false">IF($A7="","",SUMPRODUCT((Questionnaire!$F$5:$F$55="Yes")*(Questionnaire!K$5:K$55="No")))</f>
        <v>1</v>
      </c>
      <c r="F7" s="20" t="n">
        <f aca="false">IF($A7="","",IFERROR(SUMPRODUCT((Questionnaire!$B$5:$B$55=F$5)*Questionnaire!$E$5:$E$55*((Questionnaire!K$5:K$55="Yes")*Methodology!$B$27+(Questionnaire!K$5:K$55="Partial")*Methodology!$B$28+(Questionnaire!K$5:K$55="No")*Methodology!$B$29))/SUMPRODUCT((Questionnaire!$B$5:$B$55=F$5)*Questionnaire!$E$5:$E$55*((Questionnaire!K$5:K$55="Yes")+(Questionnaire!K$5:K$55="Partial")+(Questionnaire!K$5:K$55="No"))),"N/A"))</f>
        <v>0.875</v>
      </c>
      <c r="G7" s="20" t="n">
        <f aca="false">IF($A7="","",IFERROR(SUMPRODUCT((Questionnaire!$B$5:$B$55=G$5)*Questionnaire!$E$5:$E$55*((Questionnaire!K$5:K$55="Yes")*Methodology!$B$27+(Questionnaire!K$5:K$55="Partial")*Methodology!$B$28+(Questionnaire!K$5:K$55="No")*Methodology!$B$29))/SUMPRODUCT((Questionnaire!$B$5:$B$55=G$5)*Questionnaire!$E$5:$E$55*((Questionnaire!K$5:K$55="Yes")+(Questionnaire!K$5:K$55="Partial")+(Questionnaire!K$5:K$55="No"))),"N/A"))</f>
        <v>0.9</v>
      </c>
      <c r="H7" s="20" t="n">
        <f aca="false">IF($A7="","",IFERROR(SUMPRODUCT((Questionnaire!$B$5:$B$55=H$5)*Questionnaire!$E$5:$E$55*((Questionnaire!K$5:K$55="Yes")*Methodology!$B$27+(Questionnaire!K$5:K$55="Partial")*Methodology!$B$28+(Questionnaire!K$5:K$55="No")*Methodology!$B$29))/SUMPRODUCT((Questionnaire!$B$5:$B$55=H$5)*Questionnaire!$E$5:$E$55*((Questionnaire!K$5:K$55="Yes")+(Questionnaire!K$5:K$55="Partial")+(Questionnaire!K$5:K$55="No"))),"N/A"))</f>
        <v>0.928571428571429</v>
      </c>
      <c r="I7" s="20" t="n">
        <f aca="false">IF($A7="","",IFERROR(SUMPRODUCT((Questionnaire!$B$5:$B$55=I$5)*Questionnaire!$E$5:$E$55*((Questionnaire!K$5:K$55="Yes")*Methodology!$B$27+(Questionnaire!K$5:K$55="Partial")*Methodology!$B$28+(Questionnaire!K$5:K$55="No")*Methodology!$B$29))/SUMPRODUCT((Questionnaire!$B$5:$B$55=I$5)*Questionnaire!$E$5:$E$55*((Questionnaire!K$5:K$55="Yes")+(Questionnaire!K$5:K$55="Partial")+(Questionnaire!K$5:K$55="No"))),"N/A"))</f>
        <v>1</v>
      </c>
      <c r="J7" s="20" t="n">
        <f aca="false">IF($A7="","",IFERROR(SUMPRODUCT((Questionnaire!$B$5:$B$55=J$5)*Questionnaire!$E$5:$E$55*((Questionnaire!K$5:K$55="Yes")*Methodology!$B$27+(Questionnaire!K$5:K$55="Partial")*Methodology!$B$28+(Questionnaire!K$5:K$55="No")*Methodology!$B$29))/SUMPRODUCT((Questionnaire!$B$5:$B$55=J$5)*Questionnaire!$E$5:$E$55*((Questionnaire!K$5:K$55="Yes")+(Questionnaire!K$5:K$55="Partial")+(Questionnaire!K$5:K$55="No"))),"N/A"))</f>
        <v>0.875</v>
      </c>
      <c r="K7" s="20" t="n">
        <f aca="false">IF($A7="","",IFERROR(SUMPRODUCT((Questionnaire!$B$5:$B$55=K$5)*Questionnaire!$E$5:$E$55*((Questionnaire!K$5:K$55="Yes")*Methodology!$B$27+(Questionnaire!K$5:K$55="Partial")*Methodology!$B$28+(Questionnaire!K$5:K$55="No")*Methodology!$B$29))/SUMPRODUCT((Questionnaire!$B$5:$B$55=K$5)*Questionnaire!$E$5:$E$55*((Questionnaire!K$5:K$55="Yes")+(Questionnaire!K$5:K$55="Partial")+(Questionnaire!K$5:K$55="No"))),"N/A"))</f>
        <v>0.863636363636364</v>
      </c>
      <c r="L7" s="20" t="n">
        <f aca="false">IF($A7="","",IFERROR(SUMPRODUCT((Questionnaire!$B$5:$B$55=L$5)*Questionnaire!$E$5:$E$55*((Questionnaire!K$5:K$55="Yes")*Methodology!$B$27+(Questionnaire!K$5:K$55="Partial")*Methodology!$B$28+(Questionnaire!K$5:K$55="No")*Methodology!$B$29))/SUMPRODUCT((Questionnaire!$B$5:$B$55=L$5)*Questionnaire!$E$5:$E$55*((Questionnaire!K$5:K$55="Yes")+(Questionnaire!K$5:K$55="Partial")+(Questionnaire!K$5:K$55="No"))),"N/A"))</f>
        <v>0.875</v>
      </c>
      <c r="M7" s="20" t="n">
        <f aca="false">IF($A7="","",IFERROR(SUMPRODUCT((Questionnaire!$B$5:$B$55=M$5)*Questionnaire!$E$5:$E$55*((Questionnaire!K$5:K$55="Yes")*Methodology!$B$27+(Questionnaire!K$5:K$55="Partial")*Methodology!$B$28+(Questionnaire!K$5:K$55="No")*Methodology!$B$29))/SUMPRODUCT((Questionnaire!$B$5:$B$55=M$5)*Questionnaire!$E$5:$E$55*((Questionnaire!K$5:K$55="Yes")+(Questionnaire!K$5:K$55="Partial")+(Questionnaire!K$5:K$55="No"))),"N/A"))</f>
        <v>0.785714285714286</v>
      </c>
      <c r="N7" s="20" t="n">
        <f aca="false">IF($A7="","",IFERROR(SUMPRODUCT((Questionnaire!$B$5:$B$55=N$5)*Questionnaire!$E$5:$E$55*((Questionnaire!K$5:K$55="Yes")*Methodology!$B$27+(Questionnaire!K$5:K$55="Partial")*Methodology!$B$28+(Questionnaire!K$5:K$55="No")*Methodology!$B$29))/SUMPRODUCT((Questionnaire!$B$5:$B$55=N$5)*Questionnaire!$E$5:$E$55*((Questionnaire!K$5:K$55="Yes")+(Questionnaire!K$5:K$55="Partial")+(Questionnaire!K$5:K$55="No"))),"N/A"))</f>
        <v>0.875</v>
      </c>
      <c r="O7" s="20" t="n">
        <f aca="false">IF($A7="","",IFERROR(SUMPRODUCT((Questionnaire!$B$5:$B$55=O$5)*Questionnaire!$E$5:$E$55*((Questionnaire!K$5:K$55="Yes")*Methodology!$B$27+(Questionnaire!K$5:K$55="Partial")*Methodology!$B$28+(Questionnaire!K$5:K$55="No")*Methodology!$B$29))/SUMPRODUCT((Questionnaire!$B$5:$B$55=O$5)*Questionnaire!$E$5:$E$55*((Questionnaire!K$5:K$55="Yes")+(Questionnaire!K$5:K$55="Partial")+(Questionnaire!K$5:K$55="No"))),"N/A"))</f>
        <v>0.475</v>
      </c>
    </row>
    <row r="8" customFormat="false" ht="15" hidden="false" customHeight="false" outlineLevel="0" collapsed="false">
      <c r="A8" s="4" t="str">
        <f aca="false">IF(Vendor_Register!A8="","",Vendor_Register!A8)</f>
        <v>V-003</v>
      </c>
      <c r="B8" s="4" t="str">
        <f aca="false">IF(A8="","",Vendor_Register!B8)</f>
        <v>Orbit CRM Suite</v>
      </c>
      <c r="C8" s="20" t="n">
        <f aca="false">IF($A8="","",IFERROR(SUMPRODUCT(Questionnaire!$E$5:$E$55*((Questionnaire!L$5:L$55="Yes")*Methodology!$B$27+(Questionnaire!L$5:L$55="Partial")*Methodology!$B$28+(Questionnaire!L$5:L$55="No")*Methodology!$B$29))/SUMPRODUCT(Questionnaire!$E$5:$E$55*((Questionnaire!L$5:L$55="Yes")+(Questionnaire!L$5:L$55="Partial")+(Questionnaire!L$5:L$55="No"))),""))</f>
        <v>0.510989010989011</v>
      </c>
      <c r="D8" s="20" t="n">
        <f aca="false">IF($A8="","",SUMPRODUCT(--(Questionnaire!L$5:L$55&lt;&gt;""))/ROWS(Questionnaire!$A$5:$A$55))</f>
        <v>1</v>
      </c>
      <c r="E8" s="19" t="n">
        <f aca="false">IF($A8="","",SUMPRODUCT((Questionnaire!$F$5:$F$55="Yes")*(Questionnaire!L$5:L$55="No")))</f>
        <v>0</v>
      </c>
      <c r="F8" s="20" t="n">
        <f aca="false">IF($A8="","",IFERROR(SUMPRODUCT((Questionnaire!$B$5:$B$55=F$5)*Questionnaire!$E$5:$E$55*((Questionnaire!L$5:L$55="Yes")*Methodology!$B$27+(Questionnaire!L$5:L$55="Partial")*Methodology!$B$28+(Questionnaire!L$5:L$55="No")*Methodology!$B$29))/SUMPRODUCT((Questionnaire!$B$5:$B$55=F$5)*Questionnaire!$E$5:$E$55*((Questionnaire!L$5:L$55="Yes")+(Questionnaire!L$5:L$55="Partial")+(Questionnaire!L$5:L$55="No"))),"N/A"))</f>
        <v>0.541666666666667</v>
      </c>
      <c r="G8" s="20" t="n">
        <f aca="false">IF($A8="","",IFERROR(SUMPRODUCT((Questionnaire!$B$5:$B$55=G$5)*Questionnaire!$E$5:$E$55*((Questionnaire!L$5:L$55="Yes")*Methodology!$B$27+(Questionnaire!L$5:L$55="Partial")*Methodology!$B$28+(Questionnaire!L$5:L$55="No")*Methodology!$B$29))/SUMPRODUCT((Questionnaire!$B$5:$B$55=G$5)*Questionnaire!$E$5:$E$55*((Questionnaire!L$5:L$55="Yes")+(Questionnaire!L$5:L$55="Partial")+(Questionnaire!L$5:L$55="No"))),"N/A"))</f>
        <v>0.55</v>
      </c>
      <c r="H8" s="20" t="n">
        <f aca="false">IF($A8="","",IFERROR(SUMPRODUCT((Questionnaire!$B$5:$B$55=H$5)*Questionnaire!$E$5:$E$55*((Questionnaire!L$5:L$55="Yes")*Methodology!$B$27+(Questionnaire!L$5:L$55="Partial")*Methodology!$B$28+(Questionnaire!L$5:L$55="No")*Methodology!$B$29))/SUMPRODUCT((Questionnaire!$B$5:$B$55=H$5)*Questionnaire!$E$5:$E$55*((Questionnaire!L$5:L$55="Yes")+(Questionnaire!L$5:L$55="Partial")+(Questionnaire!L$5:L$55="No"))),"N/A"))</f>
        <v>0.571428571428571</v>
      </c>
      <c r="I8" s="20" t="n">
        <f aca="false">IF($A8="","",IFERROR(SUMPRODUCT((Questionnaire!$B$5:$B$55=I$5)*Questionnaire!$E$5:$E$55*((Questionnaire!L$5:L$55="Yes")*Methodology!$B$27+(Questionnaire!L$5:L$55="Partial")*Methodology!$B$28+(Questionnaire!L$5:L$55="No")*Methodology!$B$29))/SUMPRODUCT((Questionnaire!$B$5:$B$55=I$5)*Questionnaire!$E$5:$E$55*((Questionnaire!L$5:L$55="Yes")+(Questionnaire!L$5:L$55="Partial")+(Questionnaire!L$5:L$55="No"))),"N/A"))</f>
        <v>0.666666666666667</v>
      </c>
      <c r="J8" s="20" t="n">
        <f aca="false">IF($A8="","",IFERROR(SUMPRODUCT((Questionnaire!$B$5:$B$55=J$5)*Questionnaire!$E$5:$E$55*((Questionnaire!L$5:L$55="Yes")*Methodology!$B$27+(Questionnaire!L$5:L$55="Partial")*Methodology!$B$28+(Questionnaire!L$5:L$55="No")*Methodology!$B$29))/SUMPRODUCT((Questionnaire!$B$5:$B$55=J$5)*Questionnaire!$E$5:$E$55*((Questionnaire!L$5:L$55="Yes")+(Questionnaire!L$5:L$55="Partial")+(Questionnaire!L$5:L$55="No"))),"N/A"))</f>
        <v>0.291666666666667</v>
      </c>
      <c r="K8" s="20" t="n">
        <f aca="false">IF($A8="","",IFERROR(SUMPRODUCT((Questionnaire!$B$5:$B$55=K$5)*Questionnaire!$E$5:$E$55*((Questionnaire!L$5:L$55="Yes")*Methodology!$B$27+(Questionnaire!L$5:L$55="Partial")*Methodology!$B$28+(Questionnaire!L$5:L$55="No")*Methodology!$B$29))/SUMPRODUCT((Questionnaire!$B$5:$B$55=K$5)*Questionnaire!$E$5:$E$55*((Questionnaire!L$5:L$55="Yes")+(Questionnaire!L$5:L$55="Partial")+(Questionnaire!L$5:L$55="No"))),"N/A"))</f>
        <v>0.454545454545455</v>
      </c>
      <c r="L8" s="20" t="n">
        <f aca="false">IF($A8="","",IFERROR(SUMPRODUCT((Questionnaire!$B$5:$B$55=L$5)*Questionnaire!$E$5:$E$55*((Questionnaire!L$5:L$55="Yes")*Methodology!$B$27+(Questionnaire!L$5:L$55="Partial")*Methodology!$B$28+(Questionnaire!L$5:L$55="No")*Methodology!$B$29))/SUMPRODUCT((Questionnaire!$B$5:$B$55=L$5)*Questionnaire!$E$5:$E$55*((Questionnaire!L$5:L$55="Yes")+(Questionnaire!L$5:L$55="Partial")+(Questionnaire!L$5:L$55="No"))),"N/A"))</f>
        <v>0.375</v>
      </c>
      <c r="M8" s="20" t="n">
        <f aca="false">IF($A8="","",IFERROR(SUMPRODUCT((Questionnaire!$B$5:$B$55=M$5)*Questionnaire!$E$5:$E$55*((Questionnaire!L$5:L$55="Yes")*Methodology!$B$27+(Questionnaire!L$5:L$55="Partial")*Methodology!$B$28+(Questionnaire!L$5:L$55="No")*Methodology!$B$29))/SUMPRODUCT((Questionnaire!$B$5:$B$55=M$5)*Questionnaire!$E$5:$E$55*((Questionnaire!L$5:L$55="Yes")+(Questionnaire!L$5:L$55="Partial")+(Questionnaire!L$5:L$55="No"))),"N/A"))</f>
        <v>0.428571428571429</v>
      </c>
      <c r="N8" s="20" t="n">
        <f aca="false">IF($A8="","",IFERROR(SUMPRODUCT((Questionnaire!$B$5:$B$55=N$5)*Questionnaire!$E$5:$E$55*((Questionnaire!L$5:L$55="Yes")*Methodology!$B$27+(Questionnaire!L$5:L$55="Partial")*Methodology!$B$28+(Questionnaire!L$5:L$55="No")*Methodology!$B$29))/SUMPRODUCT((Questionnaire!$B$5:$B$55=N$5)*Questionnaire!$E$5:$E$55*((Questionnaire!L$5:L$55="Yes")+(Questionnaire!L$5:L$55="Partial")+(Questionnaire!L$5:L$55="No"))),"N/A"))</f>
        <v>0.75</v>
      </c>
      <c r="O8" s="20" t="str">
        <f aca="false">IF($A8="","",IFERROR(SUMPRODUCT((Questionnaire!$B$5:$B$55=O$5)*Questionnaire!$E$5:$E$55*((Questionnaire!L$5:L$55="Yes")*Methodology!$B$27+(Questionnaire!L$5:L$55="Partial")*Methodology!$B$28+(Questionnaire!L$5:L$55="No")*Methodology!$B$29))/SUMPRODUCT((Questionnaire!$B$5:$B$55=O$5)*Questionnaire!$E$5:$E$55*((Questionnaire!L$5:L$55="Yes")+(Questionnaire!L$5:L$55="Partial")+(Questionnaire!L$5:L$55="No"))),"N/A"))</f>
        <v>N/A</v>
      </c>
    </row>
    <row r="9" customFormat="false" ht="15" hidden="false" customHeight="false" outlineLevel="0" collapsed="false">
      <c r="A9" s="4" t="str">
        <f aca="false">IF(Vendor_Register!A9="","",Vendor_Register!A9)</f>
        <v>V-004</v>
      </c>
      <c r="B9" s="4" t="str">
        <f aca="false">IF(A9="","",Vendor_Register!B9)</f>
        <v>InsightML Analytics</v>
      </c>
      <c r="C9" s="20" t="n">
        <f aca="false">IF($A9="","",IFERROR(SUMPRODUCT(Questionnaire!$E$5:$E$55*((Questionnaire!M$5:M$55="Yes")*Methodology!$B$27+(Questionnaire!M$5:M$55="Partial")*Methodology!$B$28+(Questionnaire!M$5:M$55="No")*Methodology!$B$29))/SUMPRODUCT(Questionnaire!$E$5:$E$55*((Questionnaire!M$5:M$55="Yes")+(Questionnaire!M$5:M$55="Partial")+(Questionnaire!M$5:M$55="No"))),""))</f>
        <v>0.743243243243243</v>
      </c>
      <c r="D9" s="20" t="n">
        <f aca="false">IF($A9="","",SUMPRODUCT(--(Questionnaire!M$5:M$55&lt;&gt;""))/ROWS(Questionnaire!$A$5:$A$55))</f>
        <v>1</v>
      </c>
      <c r="E9" s="19" t="n">
        <f aca="false">IF($A9="","",SUMPRODUCT((Questionnaire!$F$5:$F$55="Yes")*(Questionnaire!M$5:M$55="No")))</f>
        <v>0</v>
      </c>
      <c r="F9" s="20" t="n">
        <f aca="false">IF($A9="","",IFERROR(SUMPRODUCT((Questionnaire!$B$5:$B$55=F$5)*Questionnaire!$E$5:$E$55*((Questionnaire!M$5:M$55="Yes")*Methodology!$B$27+(Questionnaire!M$5:M$55="Partial")*Methodology!$B$28+(Questionnaire!M$5:M$55="No")*Methodology!$B$29))/SUMPRODUCT((Questionnaire!$B$5:$B$55=F$5)*Questionnaire!$E$5:$E$55*((Questionnaire!M$5:M$55="Yes")+(Questionnaire!M$5:M$55="Partial")+(Questionnaire!M$5:M$55="No"))),"N/A"))</f>
        <v>0.708333333333333</v>
      </c>
      <c r="G9" s="20" t="n">
        <f aca="false">IF($A9="","",IFERROR(SUMPRODUCT((Questionnaire!$B$5:$B$55=G$5)*Questionnaire!$E$5:$E$55*((Questionnaire!M$5:M$55="Yes")*Methodology!$B$27+(Questionnaire!M$5:M$55="Partial")*Methodology!$B$28+(Questionnaire!M$5:M$55="No")*Methodology!$B$29))/SUMPRODUCT((Questionnaire!$B$5:$B$55=G$5)*Questionnaire!$E$5:$E$55*((Questionnaire!M$5:M$55="Yes")+(Questionnaire!M$5:M$55="Partial")+(Questionnaire!M$5:M$55="No"))),"N/A"))</f>
        <v>0.7</v>
      </c>
      <c r="H9" s="20" t="n">
        <f aca="false">IF($A9="","",IFERROR(SUMPRODUCT((Questionnaire!$B$5:$B$55=H$5)*Questionnaire!$E$5:$E$55*((Questionnaire!M$5:M$55="Yes")*Methodology!$B$27+(Questionnaire!M$5:M$55="Partial")*Methodology!$B$28+(Questionnaire!M$5:M$55="No")*Methodology!$B$29))/SUMPRODUCT((Questionnaire!$B$5:$B$55=H$5)*Questionnaire!$E$5:$E$55*((Questionnaire!M$5:M$55="Yes")+(Questionnaire!M$5:M$55="Partial")+(Questionnaire!M$5:M$55="No"))),"N/A"))</f>
        <v>0.857142857142857</v>
      </c>
      <c r="I9" s="20" t="n">
        <f aca="false">IF($A9="","",IFERROR(SUMPRODUCT((Questionnaire!$B$5:$B$55=I$5)*Questionnaire!$E$5:$E$55*((Questionnaire!M$5:M$55="Yes")*Methodology!$B$27+(Questionnaire!M$5:M$55="Partial")*Methodology!$B$28+(Questionnaire!M$5:M$55="No")*Methodology!$B$29))/SUMPRODUCT((Questionnaire!$B$5:$B$55=I$5)*Questionnaire!$E$5:$E$55*((Questionnaire!M$5:M$55="Yes")+(Questionnaire!M$5:M$55="Partial")+(Questionnaire!M$5:M$55="No"))),"N/A"))</f>
        <v>0.777777777777778</v>
      </c>
      <c r="J9" s="20" t="n">
        <f aca="false">IF($A9="","",IFERROR(SUMPRODUCT((Questionnaire!$B$5:$B$55=J$5)*Questionnaire!$E$5:$E$55*((Questionnaire!M$5:M$55="Yes")*Methodology!$B$27+(Questionnaire!M$5:M$55="Partial")*Methodology!$B$28+(Questionnaire!M$5:M$55="No")*Methodology!$B$29))/SUMPRODUCT((Questionnaire!$B$5:$B$55=J$5)*Questionnaire!$E$5:$E$55*((Questionnaire!M$5:M$55="Yes")+(Questionnaire!M$5:M$55="Partial")+(Questionnaire!M$5:M$55="No"))),"N/A"))</f>
        <v>0.75</v>
      </c>
      <c r="K9" s="20" t="n">
        <f aca="false">IF($A9="","",IFERROR(SUMPRODUCT((Questionnaire!$B$5:$B$55=K$5)*Questionnaire!$E$5:$E$55*((Questionnaire!M$5:M$55="Yes")*Methodology!$B$27+(Questionnaire!M$5:M$55="Partial")*Methodology!$B$28+(Questionnaire!M$5:M$55="No")*Methodology!$B$29))/SUMPRODUCT((Questionnaire!$B$5:$B$55=K$5)*Questionnaire!$E$5:$E$55*((Questionnaire!M$5:M$55="Yes")+(Questionnaire!M$5:M$55="Partial")+(Questionnaire!M$5:M$55="No"))),"N/A"))</f>
        <v>0.863636363636364</v>
      </c>
      <c r="L9" s="20" t="n">
        <f aca="false">IF($A9="","",IFERROR(SUMPRODUCT((Questionnaire!$B$5:$B$55=L$5)*Questionnaire!$E$5:$E$55*((Questionnaire!M$5:M$55="Yes")*Methodology!$B$27+(Questionnaire!M$5:M$55="Partial")*Methodology!$B$28+(Questionnaire!M$5:M$55="No")*Methodology!$B$29))/SUMPRODUCT((Questionnaire!$B$5:$B$55=L$5)*Questionnaire!$E$5:$E$55*((Questionnaire!M$5:M$55="Yes")+(Questionnaire!M$5:M$55="Partial")+(Questionnaire!M$5:M$55="No"))),"N/A"))</f>
        <v>0.625</v>
      </c>
      <c r="M9" s="20" t="n">
        <f aca="false">IF($A9="","",IFERROR(SUMPRODUCT((Questionnaire!$B$5:$B$55=M$5)*Questionnaire!$E$5:$E$55*((Questionnaire!M$5:M$55="Yes")*Methodology!$B$27+(Questionnaire!M$5:M$55="Partial")*Methodology!$B$28+(Questionnaire!M$5:M$55="No")*Methodology!$B$29))/SUMPRODUCT((Questionnaire!$B$5:$B$55=M$5)*Questionnaire!$E$5:$E$55*((Questionnaire!M$5:M$55="Yes")+(Questionnaire!M$5:M$55="Partial")+(Questionnaire!M$5:M$55="No"))),"N/A"))</f>
        <v>0.785714285714286</v>
      </c>
      <c r="N9" s="20" t="n">
        <f aca="false">IF($A9="","",IFERROR(SUMPRODUCT((Questionnaire!$B$5:$B$55=N$5)*Questionnaire!$E$5:$E$55*((Questionnaire!M$5:M$55="Yes")*Methodology!$B$27+(Questionnaire!M$5:M$55="Partial")*Methodology!$B$28+(Questionnaire!M$5:M$55="No")*Methodology!$B$29))/SUMPRODUCT((Questionnaire!$B$5:$B$55=N$5)*Questionnaire!$E$5:$E$55*((Questionnaire!M$5:M$55="Yes")+(Questionnaire!M$5:M$55="Partial")+(Questionnaire!M$5:M$55="No"))),"N/A"))</f>
        <v>0.75</v>
      </c>
      <c r="O9" s="20" t="n">
        <f aca="false">IF($A9="","",IFERROR(SUMPRODUCT((Questionnaire!$B$5:$B$55=O$5)*Questionnaire!$E$5:$E$55*((Questionnaire!M$5:M$55="Yes")*Methodology!$B$27+(Questionnaire!M$5:M$55="Partial")*Methodology!$B$28+(Questionnaire!M$5:M$55="No")*Methodology!$B$29))/SUMPRODUCT((Questionnaire!$B$5:$B$55=O$5)*Questionnaire!$E$5:$E$55*((Questionnaire!M$5:M$55="Yes")+(Questionnaire!M$5:M$55="Partial")+(Questionnaire!M$5:M$55="No"))),"N/A"))</f>
        <v>0.65</v>
      </c>
    </row>
    <row r="10" customFormat="false" ht="15" hidden="false" customHeight="false" outlineLevel="0" collapsed="false">
      <c r="A10" s="4" t="str">
        <f aca="false">IF(Vendor_Register!A10="","",Vendor_Register!A10)</f>
        <v>V-005</v>
      </c>
      <c r="B10" s="4" t="str">
        <f aca="false">IF(A10="","",Vendor_Register!B10)</f>
        <v>Cirrus Backup &amp; Recovery</v>
      </c>
      <c r="C10" s="20" t="n">
        <f aca="false">IF($A10="","",IFERROR(SUMPRODUCT(Questionnaire!$E$5:$E$55*((Questionnaire!N$5:N$55="Yes")*Methodology!$B$27+(Questionnaire!N$5:N$55="Partial")*Methodology!$B$28+(Questionnaire!N$5:N$55="No")*Methodology!$B$29))/SUMPRODUCT(Questionnaire!$E$5:$E$55*((Questionnaire!N$5:N$55="Yes")+(Questionnaire!N$5:N$55="Partial")+(Questionnaire!N$5:N$55="No"))),""))</f>
        <v>0.956043956043956</v>
      </c>
      <c r="D10" s="20" t="n">
        <f aca="false">IF($A10="","",SUMPRODUCT(--(Questionnaire!N$5:N$55&lt;&gt;""))/ROWS(Questionnaire!$A$5:$A$55))</f>
        <v>1</v>
      </c>
      <c r="E10" s="19" t="n">
        <f aca="false">IF($A10="","",SUMPRODUCT((Questionnaire!$F$5:$F$55="Yes")*(Questionnaire!N$5:N$55="No")))</f>
        <v>0</v>
      </c>
      <c r="F10" s="20" t="n">
        <f aca="false">IF($A10="","",IFERROR(SUMPRODUCT((Questionnaire!$B$5:$B$55=F$5)*Questionnaire!$E$5:$E$55*((Questionnaire!N$5:N$55="Yes")*Methodology!$B$27+(Questionnaire!N$5:N$55="Partial")*Methodology!$B$28+(Questionnaire!N$5:N$55="No")*Methodology!$B$29))/SUMPRODUCT((Questionnaire!$B$5:$B$55=F$5)*Questionnaire!$E$5:$E$55*((Questionnaire!N$5:N$55="Yes")+(Questionnaire!N$5:N$55="Partial")+(Questionnaire!N$5:N$55="No"))),"N/A"))</f>
        <v>0.916666666666667</v>
      </c>
      <c r="G10" s="20" t="n">
        <f aca="false">IF($A10="","",IFERROR(SUMPRODUCT((Questionnaire!$B$5:$B$55=G$5)*Questionnaire!$E$5:$E$55*((Questionnaire!N$5:N$55="Yes")*Methodology!$B$27+(Questionnaire!N$5:N$55="Partial")*Methodology!$B$28+(Questionnaire!N$5:N$55="No")*Methodology!$B$29))/SUMPRODUCT((Questionnaire!$B$5:$B$55=G$5)*Questionnaire!$E$5:$E$55*((Questionnaire!N$5:N$55="Yes")+(Questionnaire!N$5:N$55="Partial")+(Questionnaire!N$5:N$55="No"))),"N/A"))</f>
        <v>1</v>
      </c>
      <c r="H10" s="20" t="n">
        <f aca="false">IF($A10="","",IFERROR(SUMPRODUCT((Questionnaire!$B$5:$B$55=H$5)*Questionnaire!$E$5:$E$55*((Questionnaire!N$5:N$55="Yes")*Methodology!$B$27+(Questionnaire!N$5:N$55="Partial")*Methodology!$B$28+(Questionnaire!N$5:N$55="No")*Methodology!$B$29))/SUMPRODUCT((Questionnaire!$B$5:$B$55=H$5)*Questionnaire!$E$5:$E$55*((Questionnaire!N$5:N$55="Yes")+(Questionnaire!N$5:N$55="Partial")+(Questionnaire!N$5:N$55="No"))),"N/A"))</f>
        <v>0.928571428571429</v>
      </c>
      <c r="I10" s="20" t="n">
        <f aca="false">IF($A10="","",IFERROR(SUMPRODUCT((Questionnaire!$B$5:$B$55=I$5)*Questionnaire!$E$5:$E$55*((Questionnaire!N$5:N$55="Yes")*Methodology!$B$27+(Questionnaire!N$5:N$55="Partial")*Methodology!$B$28+(Questionnaire!N$5:N$55="No")*Methodology!$B$29))/SUMPRODUCT((Questionnaire!$B$5:$B$55=I$5)*Questionnaire!$E$5:$E$55*((Questionnaire!N$5:N$55="Yes")+(Questionnaire!N$5:N$55="Partial")+(Questionnaire!N$5:N$55="No"))),"N/A"))</f>
        <v>0.944444444444444</v>
      </c>
      <c r="J10" s="20" t="n">
        <f aca="false">IF($A10="","",IFERROR(SUMPRODUCT((Questionnaire!$B$5:$B$55=J$5)*Questionnaire!$E$5:$E$55*((Questionnaire!N$5:N$55="Yes")*Methodology!$B$27+(Questionnaire!N$5:N$55="Partial")*Methodology!$B$28+(Questionnaire!N$5:N$55="No")*Methodology!$B$29))/SUMPRODUCT((Questionnaire!$B$5:$B$55=J$5)*Questionnaire!$E$5:$E$55*((Questionnaire!N$5:N$55="Yes")+(Questionnaire!N$5:N$55="Partial")+(Questionnaire!N$5:N$55="No"))),"N/A"))</f>
        <v>1</v>
      </c>
      <c r="K10" s="20" t="n">
        <f aca="false">IF($A10="","",IFERROR(SUMPRODUCT((Questionnaire!$B$5:$B$55=K$5)*Questionnaire!$E$5:$E$55*((Questionnaire!N$5:N$55="Yes")*Methodology!$B$27+(Questionnaire!N$5:N$55="Partial")*Methodology!$B$28+(Questionnaire!N$5:N$55="No")*Methodology!$B$29))/SUMPRODUCT((Questionnaire!$B$5:$B$55=K$5)*Questionnaire!$E$5:$E$55*((Questionnaire!N$5:N$55="Yes")+(Questionnaire!N$5:N$55="Partial")+(Questionnaire!N$5:N$55="No"))),"N/A"))</f>
        <v>0.954545454545455</v>
      </c>
      <c r="L10" s="20" t="n">
        <f aca="false">IF($A10="","",IFERROR(SUMPRODUCT((Questionnaire!$B$5:$B$55=L$5)*Questionnaire!$E$5:$E$55*((Questionnaire!N$5:N$55="Yes")*Methodology!$B$27+(Questionnaire!N$5:N$55="Partial")*Methodology!$B$28+(Questionnaire!N$5:N$55="No")*Methodology!$B$29))/SUMPRODUCT((Questionnaire!$B$5:$B$55=L$5)*Questionnaire!$E$5:$E$55*((Questionnaire!N$5:N$55="Yes")+(Questionnaire!N$5:N$55="Partial")+(Questionnaire!N$5:N$55="No"))),"N/A"))</f>
        <v>1</v>
      </c>
      <c r="M10" s="20" t="n">
        <f aca="false">IF($A10="","",IFERROR(SUMPRODUCT((Questionnaire!$B$5:$B$55=M$5)*Questionnaire!$E$5:$E$55*((Questionnaire!N$5:N$55="Yes")*Methodology!$B$27+(Questionnaire!N$5:N$55="Partial")*Methodology!$B$28+(Questionnaire!N$5:N$55="No")*Methodology!$B$29))/SUMPRODUCT((Questionnaire!$B$5:$B$55=M$5)*Questionnaire!$E$5:$E$55*((Questionnaire!N$5:N$55="Yes")+(Questionnaire!N$5:N$55="Partial")+(Questionnaire!N$5:N$55="No"))),"N/A"))</f>
        <v>0.928571428571429</v>
      </c>
      <c r="N10" s="20" t="n">
        <f aca="false">IF($A10="","",IFERROR(SUMPRODUCT((Questionnaire!$B$5:$B$55=N$5)*Questionnaire!$E$5:$E$55*((Questionnaire!N$5:N$55="Yes")*Methodology!$B$27+(Questionnaire!N$5:N$55="Partial")*Methodology!$B$28+(Questionnaire!N$5:N$55="No")*Methodology!$B$29))/SUMPRODUCT((Questionnaire!$B$5:$B$55=N$5)*Questionnaire!$E$5:$E$55*((Questionnaire!N$5:N$55="Yes")+(Questionnaire!N$5:N$55="Partial")+(Questionnaire!N$5:N$55="No"))),"N/A"))</f>
        <v>0.9375</v>
      </c>
      <c r="O10" s="20" t="str">
        <f aca="false">IF($A10="","",IFERROR(SUMPRODUCT((Questionnaire!$B$5:$B$55=O$5)*Questionnaire!$E$5:$E$55*((Questionnaire!N$5:N$55="Yes")*Methodology!$B$27+(Questionnaire!N$5:N$55="Partial")*Methodology!$B$28+(Questionnaire!N$5:N$55="No")*Methodology!$B$29))/SUMPRODUCT((Questionnaire!$B$5:$B$55=O$5)*Questionnaire!$E$5:$E$55*((Questionnaire!N$5:N$55="Yes")+(Questionnaire!N$5:N$55="Partial")+(Questionnaire!N$5:N$55="No"))),"N/A"))</f>
        <v>N/A</v>
      </c>
    </row>
    <row r="11" customFormat="false" ht="15" hidden="false" customHeight="false" outlineLevel="0" collapsed="false">
      <c r="A11" s="4" t="str">
        <f aca="false">IF(Vendor_Register!A11="","",Vendor_Register!A11)</f>
        <v>V-006</v>
      </c>
      <c r="B11" s="4" t="str">
        <f aca="false">IF(A11="","",Vendor_Register!B11)</f>
        <v>Brightleaf Survey Tool</v>
      </c>
      <c r="C11" s="20" t="n">
        <f aca="false">IF($A11="","",IFERROR(SUMPRODUCT(Questionnaire!$E$5:$E$55*((Questionnaire!O$5:O$55="Yes")*Methodology!$B$27+(Questionnaire!O$5:O$55="Partial")*Methodology!$B$28+(Questionnaire!O$5:O$55="No")*Methodology!$B$29))/SUMPRODUCT(Questionnaire!$E$5:$E$55*((Questionnaire!O$5:O$55="Yes")+(Questionnaire!O$5:O$55="Partial")+(Questionnaire!O$5:O$55="No"))),""))</f>
        <v>0.587912087912088</v>
      </c>
      <c r="D11" s="20" t="n">
        <f aca="false">IF($A11="","",SUMPRODUCT(--(Questionnaire!O$5:O$55&lt;&gt;""))/ROWS(Questionnaire!$A$5:$A$55))</f>
        <v>1</v>
      </c>
      <c r="E11" s="19" t="n">
        <f aca="false">IF($A11="","",SUMPRODUCT((Questionnaire!$F$5:$F$55="Yes")*(Questionnaire!O$5:O$55="No")))</f>
        <v>0</v>
      </c>
      <c r="F11" s="20" t="n">
        <f aca="false">IF($A11="","",IFERROR(SUMPRODUCT((Questionnaire!$B$5:$B$55=F$5)*Questionnaire!$E$5:$E$55*((Questionnaire!O$5:O$55="Yes")*Methodology!$B$27+(Questionnaire!O$5:O$55="Partial")*Methodology!$B$28+(Questionnaire!O$5:O$55="No")*Methodology!$B$29))/SUMPRODUCT((Questionnaire!$B$5:$B$55=F$5)*Questionnaire!$E$5:$E$55*((Questionnaire!O$5:O$55="Yes")+(Questionnaire!O$5:O$55="Partial")+(Questionnaire!O$5:O$55="No"))),"N/A"))</f>
        <v>0.416666666666667</v>
      </c>
      <c r="G11" s="20" t="n">
        <f aca="false">IF($A11="","",IFERROR(SUMPRODUCT((Questionnaire!$B$5:$B$55=G$5)*Questionnaire!$E$5:$E$55*((Questionnaire!O$5:O$55="Yes")*Methodology!$B$27+(Questionnaire!O$5:O$55="Partial")*Methodology!$B$28+(Questionnaire!O$5:O$55="No")*Methodology!$B$29))/SUMPRODUCT((Questionnaire!$B$5:$B$55=G$5)*Questionnaire!$E$5:$E$55*((Questionnaire!O$5:O$55="Yes")+(Questionnaire!O$5:O$55="Partial")+(Questionnaire!O$5:O$55="No"))),"N/A"))</f>
        <v>0.6</v>
      </c>
      <c r="H11" s="20" t="n">
        <f aca="false">IF($A11="","",IFERROR(SUMPRODUCT((Questionnaire!$B$5:$B$55=H$5)*Questionnaire!$E$5:$E$55*((Questionnaire!O$5:O$55="Yes")*Methodology!$B$27+(Questionnaire!O$5:O$55="Partial")*Methodology!$B$28+(Questionnaire!O$5:O$55="No")*Methodology!$B$29))/SUMPRODUCT((Questionnaire!$B$5:$B$55=H$5)*Questionnaire!$E$5:$E$55*((Questionnaire!O$5:O$55="Yes")+(Questionnaire!O$5:O$55="Partial")+(Questionnaire!O$5:O$55="No"))),"N/A"))</f>
        <v>0.714285714285714</v>
      </c>
      <c r="I11" s="20" t="n">
        <f aca="false">IF($A11="","",IFERROR(SUMPRODUCT((Questionnaire!$B$5:$B$55=I$5)*Questionnaire!$E$5:$E$55*((Questionnaire!O$5:O$55="Yes")*Methodology!$B$27+(Questionnaire!O$5:O$55="Partial")*Methodology!$B$28+(Questionnaire!O$5:O$55="No")*Methodology!$B$29))/SUMPRODUCT((Questionnaire!$B$5:$B$55=I$5)*Questionnaire!$E$5:$E$55*((Questionnaire!O$5:O$55="Yes")+(Questionnaire!O$5:O$55="Partial")+(Questionnaire!O$5:O$55="No"))),"N/A"))</f>
        <v>0.666666666666667</v>
      </c>
      <c r="J11" s="20" t="n">
        <f aca="false">IF($A11="","",IFERROR(SUMPRODUCT((Questionnaire!$B$5:$B$55=J$5)*Questionnaire!$E$5:$E$55*((Questionnaire!O$5:O$55="Yes")*Methodology!$B$27+(Questionnaire!O$5:O$55="Partial")*Methodology!$B$28+(Questionnaire!O$5:O$55="No")*Methodology!$B$29))/SUMPRODUCT((Questionnaire!$B$5:$B$55=J$5)*Questionnaire!$E$5:$E$55*((Questionnaire!O$5:O$55="Yes")+(Questionnaire!O$5:O$55="Partial")+(Questionnaire!O$5:O$55="No"))),"N/A"))</f>
        <v>0.458333333333333</v>
      </c>
      <c r="K11" s="20" t="n">
        <f aca="false">IF($A11="","",IFERROR(SUMPRODUCT((Questionnaire!$B$5:$B$55=K$5)*Questionnaire!$E$5:$E$55*((Questionnaire!O$5:O$55="Yes")*Methodology!$B$27+(Questionnaire!O$5:O$55="Partial")*Methodology!$B$28+(Questionnaire!O$5:O$55="No")*Methodology!$B$29))/SUMPRODUCT((Questionnaire!$B$5:$B$55=K$5)*Questionnaire!$E$5:$E$55*((Questionnaire!O$5:O$55="Yes")+(Questionnaire!O$5:O$55="Partial")+(Questionnaire!O$5:O$55="No"))),"N/A"))</f>
        <v>0.5</v>
      </c>
      <c r="L11" s="20" t="n">
        <f aca="false">IF($A11="","",IFERROR(SUMPRODUCT((Questionnaire!$B$5:$B$55=L$5)*Questionnaire!$E$5:$E$55*((Questionnaire!O$5:O$55="Yes")*Methodology!$B$27+(Questionnaire!O$5:O$55="Partial")*Methodology!$B$28+(Questionnaire!O$5:O$55="No")*Methodology!$B$29))/SUMPRODUCT((Questionnaire!$B$5:$B$55=L$5)*Questionnaire!$E$5:$E$55*((Questionnaire!O$5:O$55="Yes")+(Questionnaire!O$5:O$55="Partial")+(Questionnaire!O$5:O$55="No"))),"N/A"))</f>
        <v>0.625</v>
      </c>
      <c r="M11" s="20" t="n">
        <f aca="false">IF($A11="","",IFERROR(SUMPRODUCT((Questionnaire!$B$5:$B$55=M$5)*Questionnaire!$E$5:$E$55*((Questionnaire!O$5:O$55="Yes")*Methodology!$B$27+(Questionnaire!O$5:O$55="Partial")*Methodology!$B$28+(Questionnaire!O$5:O$55="No")*Methodology!$B$29))/SUMPRODUCT((Questionnaire!$B$5:$B$55=M$5)*Questionnaire!$E$5:$E$55*((Questionnaire!O$5:O$55="Yes")+(Questionnaire!O$5:O$55="Partial")+(Questionnaire!O$5:O$55="No"))),"N/A"))</f>
        <v>0.642857142857143</v>
      </c>
      <c r="N11" s="20" t="n">
        <f aca="false">IF($A11="","",IFERROR(SUMPRODUCT((Questionnaire!$B$5:$B$55=N$5)*Questionnaire!$E$5:$E$55*((Questionnaire!O$5:O$55="Yes")*Methodology!$B$27+(Questionnaire!O$5:O$55="Partial")*Methodology!$B$28+(Questionnaire!O$5:O$55="No")*Methodology!$B$29))/SUMPRODUCT((Questionnaire!$B$5:$B$55=N$5)*Questionnaire!$E$5:$E$55*((Questionnaire!O$5:O$55="Yes")+(Questionnaire!O$5:O$55="Partial")+(Questionnaire!O$5:O$55="No"))),"N/A"))</f>
        <v>0.75</v>
      </c>
      <c r="O11" s="20" t="str">
        <f aca="false">IF($A11="","",IFERROR(SUMPRODUCT((Questionnaire!$B$5:$B$55=O$5)*Questionnaire!$E$5:$E$55*((Questionnaire!O$5:O$55="Yes")*Methodology!$B$27+(Questionnaire!O$5:O$55="Partial")*Methodology!$B$28+(Questionnaire!O$5:O$55="No")*Methodology!$B$29))/SUMPRODUCT((Questionnaire!$B$5:$B$55=O$5)*Questionnaire!$E$5:$E$55*((Questionnaire!O$5:O$55="Yes")+(Questionnaire!O$5:O$55="Partial")+(Questionnaire!O$5:O$55="No"))),"N/A"))</f>
        <v>N/A</v>
      </c>
    </row>
    <row r="12" customFormat="false" ht="15" hidden="false" customHeight="false" outlineLevel="0" collapsed="false">
      <c r="A12" s="4" t="str">
        <f aca="false">IF(Vendor_Register!A12="","",Vendor_Register!A12)</f>
        <v/>
      </c>
      <c r="B12" s="4" t="str">
        <f aca="false">IF(A12="","",Vendor_Register!B12)</f>
        <v/>
      </c>
      <c r="C12" s="20" t="str">
        <f aca="false">IF($A12="","",IFERROR(SUMPRODUCT(Questionnaire!$E$5:$E$55*((Questionnaire!P$5:P$55="Yes")*Methodology!$B$27+(Questionnaire!P$5:P$55="Partial")*Methodology!$B$28+(Questionnaire!P$5:P$55="No")*Methodology!$B$29))/SUMPRODUCT(Questionnaire!$E$5:$E$55*((Questionnaire!P$5:P$55="Yes")+(Questionnaire!P$5:P$55="Partial")+(Questionnaire!P$5:P$55="No"))),""))</f>
        <v/>
      </c>
      <c r="D12" s="20" t="str">
        <f aca="false">IF($A12="","",SUMPRODUCT(--(Questionnaire!P$5:P$55&lt;&gt;""))/ROWS(Questionnaire!$A$5:$A$55))</f>
        <v/>
      </c>
      <c r="E12" s="19" t="str">
        <f aca="false">IF($A12="","",SUMPRODUCT((Questionnaire!$F$5:$F$55="Yes")*(Questionnaire!P$5:P$55="No")))</f>
        <v/>
      </c>
      <c r="F12" s="20" t="str">
        <f aca="false">IF($A12="","",IFERROR(SUMPRODUCT((Questionnaire!$B$5:$B$55=F$5)*Questionnaire!$E$5:$E$55*((Questionnaire!P$5:P$55="Yes")*Methodology!$B$27+(Questionnaire!P$5:P$55="Partial")*Methodology!$B$28+(Questionnaire!P$5:P$55="No")*Methodology!$B$29))/SUMPRODUCT((Questionnaire!$B$5:$B$55=F$5)*Questionnaire!$E$5:$E$55*((Questionnaire!P$5:P$55="Yes")+(Questionnaire!P$5:P$55="Partial")+(Questionnaire!P$5:P$55="No"))),"N/A"))</f>
        <v/>
      </c>
      <c r="G12" s="20" t="str">
        <f aca="false">IF($A12="","",IFERROR(SUMPRODUCT((Questionnaire!$B$5:$B$55=G$5)*Questionnaire!$E$5:$E$55*((Questionnaire!P$5:P$55="Yes")*Methodology!$B$27+(Questionnaire!P$5:P$55="Partial")*Methodology!$B$28+(Questionnaire!P$5:P$55="No")*Methodology!$B$29))/SUMPRODUCT((Questionnaire!$B$5:$B$55=G$5)*Questionnaire!$E$5:$E$55*((Questionnaire!P$5:P$55="Yes")+(Questionnaire!P$5:P$55="Partial")+(Questionnaire!P$5:P$55="No"))),"N/A"))</f>
        <v/>
      </c>
      <c r="H12" s="20" t="str">
        <f aca="false">IF($A12="","",IFERROR(SUMPRODUCT((Questionnaire!$B$5:$B$55=H$5)*Questionnaire!$E$5:$E$55*((Questionnaire!P$5:P$55="Yes")*Methodology!$B$27+(Questionnaire!P$5:P$55="Partial")*Methodology!$B$28+(Questionnaire!P$5:P$55="No")*Methodology!$B$29))/SUMPRODUCT((Questionnaire!$B$5:$B$55=H$5)*Questionnaire!$E$5:$E$55*((Questionnaire!P$5:P$55="Yes")+(Questionnaire!P$5:P$55="Partial")+(Questionnaire!P$5:P$55="No"))),"N/A"))</f>
        <v/>
      </c>
      <c r="I12" s="20" t="str">
        <f aca="false">IF($A12="","",IFERROR(SUMPRODUCT((Questionnaire!$B$5:$B$55=I$5)*Questionnaire!$E$5:$E$55*((Questionnaire!P$5:P$55="Yes")*Methodology!$B$27+(Questionnaire!P$5:P$55="Partial")*Methodology!$B$28+(Questionnaire!P$5:P$55="No")*Methodology!$B$29))/SUMPRODUCT((Questionnaire!$B$5:$B$55=I$5)*Questionnaire!$E$5:$E$55*((Questionnaire!P$5:P$55="Yes")+(Questionnaire!P$5:P$55="Partial")+(Questionnaire!P$5:P$55="No"))),"N/A"))</f>
        <v/>
      </c>
      <c r="J12" s="20" t="str">
        <f aca="false">IF($A12="","",IFERROR(SUMPRODUCT((Questionnaire!$B$5:$B$55=J$5)*Questionnaire!$E$5:$E$55*((Questionnaire!P$5:P$55="Yes")*Methodology!$B$27+(Questionnaire!P$5:P$55="Partial")*Methodology!$B$28+(Questionnaire!P$5:P$55="No")*Methodology!$B$29))/SUMPRODUCT((Questionnaire!$B$5:$B$55=J$5)*Questionnaire!$E$5:$E$55*((Questionnaire!P$5:P$55="Yes")+(Questionnaire!P$5:P$55="Partial")+(Questionnaire!P$5:P$55="No"))),"N/A"))</f>
        <v/>
      </c>
      <c r="K12" s="20" t="str">
        <f aca="false">IF($A12="","",IFERROR(SUMPRODUCT((Questionnaire!$B$5:$B$55=K$5)*Questionnaire!$E$5:$E$55*((Questionnaire!P$5:P$55="Yes")*Methodology!$B$27+(Questionnaire!P$5:P$55="Partial")*Methodology!$B$28+(Questionnaire!P$5:P$55="No")*Methodology!$B$29))/SUMPRODUCT((Questionnaire!$B$5:$B$55=K$5)*Questionnaire!$E$5:$E$55*((Questionnaire!P$5:P$55="Yes")+(Questionnaire!P$5:P$55="Partial")+(Questionnaire!P$5:P$55="No"))),"N/A"))</f>
        <v/>
      </c>
      <c r="L12" s="20" t="str">
        <f aca="false">IF($A12="","",IFERROR(SUMPRODUCT((Questionnaire!$B$5:$B$55=L$5)*Questionnaire!$E$5:$E$55*((Questionnaire!P$5:P$55="Yes")*Methodology!$B$27+(Questionnaire!P$5:P$55="Partial")*Methodology!$B$28+(Questionnaire!P$5:P$55="No")*Methodology!$B$29))/SUMPRODUCT((Questionnaire!$B$5:$B$55=L$5)*Questionnaire!$E$5:$E$55*((Questionnaire!P$5:P$55="Yes")+(Questionnaire!P$5:P$55="Partial")+(Questionnaire!P$5:P$55="No"))),"N/A"))</f>
        <v/>
      </c>
      <c r="M12" s="20" t="str">
        <f aca="false">IF($A12="","",IFERROR(SUMPRODUCT((Questionnaire!$B$5:$B$55=M$5)*Questionnaire!$E$5:$E$55*((Questionnaire!P$5:P$55="Yes")*Methodology!$B$27+(Questionnaire!P$5:P$55="Partial")*Methodology!$B$28+(Questionnaire!P$5:P$55="No")*Methodology!$B$29))/SUMPRODUCT((Questionnaire!$B$5:$B$55=M$5)*Questionnaire!$E$5:$E$55*((Questionnaire!P$5:P$55="Yes")+(Questionnaire!P$5:P$55="Partial")+(Questionnaire!P$5:P$55="No"))),"N/A"))</f>
        <v/>
      </c>
      <c r="N12" s="20" t="str">
        <f aca="false">IF($A12="","",IFERROR(SUMPRODUCT((Questionnaire!$B$5:$B$55=N$5)*Questionnaire!$E$5:$E$55*((Questionnaire!P$5:P$55="Yes")*Methodology!$B$27+(Questionnaire!P$5:P$55="Partial")*Methodology!$B$28+(Questionnaire!P$5:P$55="No")*Methodology!$B$29))/SUMPRODUCT((Questionnaire!$B$5:$B$55=N$5)*Questionnaire!$E$5:$E$55*((Questionnaire!P$5:P$55="Yes")+(Questionnaire!P$5:P$55="Partial")+(Questionnaire!P$5:P$55="No"))),"N/A"))</f>
        <v/>
      </c>
      <c r="O12" s="20" t="str">
        <f aca="false">IF($A12="","",IFERROR(SUMPRODUCT((Questionnaire!$B$5:$B$55=O$5)*Questionnaire!$E$5:$E$55*((Questionnaire!P$5:P$55="Yes")*Methodology!$B$27+(Questionnaire!P$5:P$55="Partial")*Methodology!$B$28+(Questionnaire!P$5:P$55="No")*Methodology!$B$29))/SUMPRODUCT((Questionnaire!$B$5:$B$55=O$5)*Questionnaire!$E$5:$E$55*((Questionnaire!P$5:P$55="Yes")+(Questionnaire!P$5:P$55="Partial")+(Questionnaire!P$5:P$55="No"))),"N/A"))</f>
        <v/>
      </c>
    </row>
    <row r="13" customFormat="false" ht="15" hidden="false" customHeight="false" outlineLevel="0" collapsed="false">
      <c r="A13" s="4" t="str">
        <f aca="false">IF(Vendor_Register!A13="","",Vendor_Register!A13)</f>
        <v/>
      </c>
      <c r="B13" s="4" t="str">
        <f aca="false">IF(A13="","",Vendor_Register!B13)</f>
        <v/>
      </c>
      <c r="C13" s="20" t="str">
        <f aca="false">IF($A13="","",IFERROR(SUMPRODUCT(Questionnaire!$E$5:$E$55*((Questionnaire!Q$5:Q$55="Yes")*Methodology!$B$27+(Questionnaire!Q$5:Q$55="Partial")*Methodology!$B$28+(Questionnaire!Q$5:Q$55="No")*Methodology!$B$29))/SUMPRODUCT(Questionnaire!$E$5:$E$55*((Questionnaire!Q$5:Q$55="Yes")+(Questionnaire!Q$5:Q$55="Partial")+(Questionnaire!Q$5:Q$55="No"))),""))</f>
        <v/>
      </c>
      <c r="D13" s="20" t="str">
        <f aca="false">IF($A13="","",SUMPRODUCT(--(Questionnaire!Q$5:Q$55&lt;&gt;""))/ROWS(Questionnaire!$A$5:$A$55))</f>
        <v/>
      </c>
      <c r="E13" s="19" t="str">
        <f aca="false">IF($A13="","",SUMPRODUCT((Questionnaire!$F$5:$F$55="Yes")*(Questionnaire!Q$5:Q$55="No")))</f>
        <v/>
      </c>
      <c r="F13" s="20" t="str">
        <f aca="false">IF($A13="","",IFERROR(SUMPRODUCT((Questionnaire!$B$5:$B$55=F$5)*Questionnaire!$E$5:$E$55*((Questionnaire!Q$5:Q$55="Yes")*Methodology!$B$27+(Questionnaire!Q$5:Q$55="Partial")*Methodology!$B$28+(Questionnaire!Q$5:Q$55="No")*Methodology!$B$29))/SUMPRODUCT((Questionnaire!$B$5:$B$55=F$5)*Questionnaire!$E$5:$E$55*((Questionnaire!Q$5:Q$55="Yes")+(Questionnaire!Q$5:Q$55="Partial")+(Questionnaire!Q$5:Q$55="No"))),"N/A"))</f>
        <v/>
      </c>
      <c r="G13" s="20" t="str">
        <f aca="false">IF($A13="","",IFERROR(SUMPRODUCT((Questionnaire!$B$5:$B$55=G$5)*Questionnaire!$E$5:$E$55*((Questionnaire!Q$5:Q$55="Yes")*Methodology!$B$27+(Questionnaire!Q$5:Q$55="Partial")*Methodology!$B$28+(Questionnaire!Q$5:Q$55="No")*Methodology!$B$29))/SUMPRODUCT((Questionnaire!$B$5:$B$55=G$5)*Questionnaire!$E$5:$E$55*((Questionnaire!Q$5:Q$55="Yes")+(Questionnaire!Q$5:Q$55="Partial")+(Questionnaire!Q$5:Q$55="No"))),"N/A"))</f>
        <v/>
      </c>
      <c r="H13" s="20" t="str">
        <f aca="false">IF($A13="","",IFERROR(SUMPRODUCT((Questionnaire!$B$5:$B$55=H$5)*Questionnaire!$E$5:$E$55*((Questionnaire!Q$5:Q$55="Yes")*Methodology!$B$27+(Questionnaire!Q$5:Q$55="Partial")*Methodology!$B$28+(Questionnaire!Q$5:Q$55="No")*Methodology!$B$29))/SUMPRODUCT((Questionnaire!$B$5:$B$55=H$5)*Questionnaire!$E$5:$E$55*((Questionnaire!Q$5:Q$55="Yes")+(Questionnaire!Q$5:Q$55="Partial")+(Questionnaire!Q$5:Q$55="No"))),"N/A"))</f>
        <v/>
      </c>
      <c r="I13" s="20" t="str">
        <f aca="false">IF($A13="","",IFERROR(SUMPRODUCT((Questionnaire!$B$5:$B$55=I$5)*Questionnaire!$E$5:$E$55*((Questionnaire!Q$5:Q$55="Yes")*Methodology!$B$27+(Questionnaire!Q$5:Q$55="Partial")*Methodology!$B$28+(Questionnaire!Q$5:Q$55="No")*Methodology!$B$29))/SUMPRODUCT((Questionnaire!$B$5:$B$55=I$5)*Questionnaire!$E$5:$E$55*((Questionnaire!Q$5:Q$55="Yes")+(Questionnaire!Q$5:Q$55="Partial")+(Questionnaire!Q$5:Q$55="No"))),"N/A"))</f>
        <v/>
      </c>
      <c r="J13" s="20" t="str">
        <f aca="false">IF($A13="","",IFERROR(SUMPRODUCT((Questionnaire!$B$5:$B$55=J$5)*Questionnaire!$E$5:$E$55*((Questionnaire!Q$5:Q$55="Yes")*Methodology!$B$27+(Questionnaire!Q$5:Q$55="Partial")*Methodology!$B$28+(Questionnaire!Q$5:Q$55="No")*Methodology!$B$29))/SUMPRODUCT((Questionnaire!$B$5:$B$55=J$5)*Questionnaire!$E$5:$E$55*((Questionnaire!Q$5:Q$55="Yes")+(Questionnaire!Q$5:Q$55="Partial")+(Questionnaire!Q$5:Q$55="No"))),"N/A"))</f>
        <v/>
      </c>
      <c r="K13" s="20" t="str">
        <f aca="false">IF($A13="","",IFERROR(SUMPRODUCT((Questionnaire!$B$5:$B$55=K$5)*Questionnaire!$E$5:$E$55*((Questionnaire!Q$5:Q$55="Yes")*Methodology!$B$27+(Questionnaire!Q$5:Q$55="Partial")*Methodology!$B$28+(Questionnaire!Q$5:Q$55="No")*Methodology!$B$29))/SUMPRODUCT((Questionnaire!$B$5:$B$55=K$5)*Questionnaire!$E$5:$E$55*((Questionnaire!Q$5:Q$55="Yes")+(Questionnaire!Q$5:Q$55="Partial")+(Questionnaire!Q$5:Q$55="No"))),"N/A"))</f>
        <v/>
      </c>
      <c r="L13" s="20" t="str">
        <f aca="false">IF($A13="","",IFERROR(SUMPRODUCT((Questionnaire!$B$5:$B$55=L$5)*Questionnaire!$E$5:$E$55*((Questionnaire!Q$5:Q$55="Yes")*Methodology!$B$27+(Questionnaire!Q$5:Q$55="Partial")*Methodology!$B$28+(Questionnaire!Q$5:Q$55="No")*Methodology!$B$29))/SUMPRODUCT((Questionnaire!$B$5:$B$55=L$5)*Questionnaire!$E$5:$E$55*((Questionnaire!Q$5:Q$55="Yes")+(Questionnaire!Q$5:Q$55="Partial")+(Questionnaire!Q$5:Q$55="No"))),"N/A"))</f>
        <v/>
      </c>
      <c r="M13" s="20" t="str">
        <f aca="false">IF($A13="","",IFERROR(SUMPRODUCT((Questionnaire!$B$5:$B$55=M$5)*Questionnaire!$E$5:$E$55*((Questionnaire!Q$5:Q$55="Yes")*Methodology!$B$27+(Questionnaire!Q$5:Q$55="Partial")*Methodology!$B$28+(Questionnaire!Q$5:Q$55="No")*Methodology!$B$29))/SUMPRODUCT((Questionnaire!$B$5:$B$55=M$5)*Questionnaire!$E$5:$E$55*((Questionnaire!Q$5:Q$55="Yes")+(Questionnaire!Q$5:Q$55="Partial")+(Questionnaire!Q$5:Q$55="No"))),"N/A"))</f>
        <v/>
      </c>
      <c r="N13" s="20" t="str">
        <f aca="false">IF($A13="","",IFERROR(SUMPRODUCT((Questionnaire!$B$5:$B$55=N$5)*Questionnaire!$E$5:$E$55*((Questionnaire!Q$5:Q$55="Yes")*Methodology!$B$27+(Questionnaire!Q$5:Q$55="Partial")*Methodology!$B$28+(Questionnaire!Q$5:Q$55="No")*Methodology!$B$29))/SUMPRODUCT((Questionnaire!$B$5:$B$55=N$5)*Questionnaire!$E$5:$E$55*((Questionnaire!Q$5:Q$55="Yes")+(Questionnaire!Q$5:Q$55="Partial")+(Questionnaire!Q$5:Q$55="No"))),"N/A"))</f>
        <v/>
      </c>
      <c r="O13" s="20" t="str">
        <f aca="false">IF($A13="","",IFERROR(SUMPRODUCT((Questionnaire!$B$5:$B$55=O$5)*Questionnaire!$E$5:$E$55*((Questionnaire!Q$5:Q$55="Yes")*Methodology!$B$27+(Questionnaire!Q$5:Q$55="Partial")*Methodology!$B$28+(Questionnaire!Q$5:Q$55="No")*Methodology!$B$29))/SUMPRODUCT((Questionnaire!$B$5:$B$55=O$5)*Questionnaire!$E$5:$E$55*((Questionnaire!Q$5:Q$55="Yes")+(Questionnaire!Q$5:Q$55="Partial")+(Questionnaire!Q$5:Q$55="No"))),"N/A"))</f>
        <v/>
      </c>
    </row>
    <row r="14" customFormat="false" ht="15" hidden="false" customHeight="false" outlineLevel="0" collapsed="false">
      <c r="A14" s="4" t="str">
        <f aca="false">IF(Vendor_Register!A14="","",Vendor_Register!A14)</f>
        <v/>
      </c>
      <c r="B14" s="4" t="str">
        <f aca="false">IF(A14="","",Vendor_Register!B14)</f>
        <v/>
      </c>
      <c r="C14" s="20" t="str">
        <f aca="false">IF($A14="","",IFERROR(SUMPRODUCT(Questionnaire!$E$5:$E$55*((Questionnaire!R$5:R$55="Yes")*Methodology!$B$27+(Questionnaire!R$5:R$55="Partial")*Methodology!$B$28+(Questionnaire!R$5:R$55="No")*Methodology!$B$29))/SUMPRODUCT(Questionnaire!$E$5:$E$55*((Questionnaire!R$5:R$55="Yes")+(Questionnaire!R$5:R$55="Partial")+(Questionnaire!R$5:R$55="No"))),""))</f>
        <v/>
      </c>
      <c r="D14" s="20" t="str">
        <f aca="false">IF($A14="","",SUMPRODUCT(--(Questionnaire!R$5:R$55&lt;&gt;""))/ROWS(Questionnaire!$A$5:$A$55))</f>
        <v/>
      </c>
      <c r="E14" s="19" t="str">
        <f aca="false">IF($A14="","",SUMPRODUCT((Questionnaire!$F$5:$F$55="Yes")*(Questionnaire!R$5:R$55="No")))</f>
        <v/>
      </c>
      <c r="F14" s="20" t="str">
        <f aca="false">IF($A14="","",IFERROR(SUMPRODUCT((Questionnaire!$B$5:$B$55=F$5)*Questionnaire!$E$5:$E$55*((Questionnaire!R$5:R$55="Yes")*Methodology!$B$27+(Questionnaire!R$5:R$55="Partial")*Methodology!$B$28+(Questionnaire!R$5:R$55="No")*Methodology!$B$29))/SUMPRODUCT((Questionnaire!$B$5:$B$55=F$5)*Questionnaire!$E$5:$E$55*((Questionnaire!R$5:R$55="Yes")+(Questionnaire!R$5:R$55="Partial")+(Questionnaire!R$5:R$55="No"))),"N/A"))</f>
        <v/>
      </c>
      <c r="G14" s="20" t="str">
        <f aca="false">IF($A14="","",IFERROR(SUMPRODUCT((Questionnaire!$B$5:$B$55=G$5)*Questionnaire!$E$5:$E$55*((Questionnaire!R$5:R$55="Yes")*Methodology!$B$27+(Questionnaire!R$5:R$55="Partial")*Methodology!$B$28+(Questionnaire!R$5:R$55="No")*Methodology!$B$29))/SUMPRODUCT((Questionnaire!$B$5:$B$55=G$5)*Questionnaire!$E$5:$E$55*((Questionnaire!R$5:R$55="Yes")+(Questionnaire!R$5:R$55="Partial")+(Questionnaire!R$5:R$55="No"))),"N/A"))</f>
        <v/>
      </c>
      <c r="H14" s="20" t="str">
        <f aca="false">IF($A14="","",IFERROR(SUMPRODUCT((Questionnaire!$B$5:$B$55=H$5)*Questionnaire!$E$5:$E$55*((Questionnaire!R$5:R$55="Yes")*Methodology!$B$27+(Questionnaire!R$5:R$55="Partial")*Methodology!$B$28+(Questionnaire!R$5:R$55="No")*Methodology!$B$29))/SUMPRODUCT((Questionnaire!$B$5:$B$55=H$5)*Questionnaire!$E$5:$E$55*((Questionnaire!R$5:R$55="Yes")+(Questionnaire!R$5:R$55="Partial")+(Questionnaire!R$5:R$55="No"))),"N/A"))</f>
        <v/>
      </c>
      <c r="I14" s="20" t="str">
        <f aca="false">IF($A14="","",IFERROR(SUMPRODUCT((Questionnaire!$B$5:$B$55=I$5)*Questionnaire!$E$5:$E$55*((Questionnaire!R$5:R$55="Yes")*Methodology!$B$27+(Questionnaire!R$5:R$55="Partial")*Methodology!$B$28+(Questionnaire!R$5:R$55="No")*Methodology!$B$29))/SUMPRODUCT((Questionnaire!$B$5:$B$55=I$5)*Questionnaire!$E$5:$E$55*((Questionnaire!R$5:R$55="Yes")+(Questionnaire!R$5:R$55="Partial")+(Questionnaire!R$5:R$55="No"))),"N/A"))</f>
        <v/>
      </c>
      <c r="J14" s="20" t="str">
        <f aca="false">IF($A14="","",IFERROR(SUMPRODUCT((Questionnaire!$B$5:$B$55=J$5)*Questionnaire!$E$5:$E$55*((Questionnaire!R$5:R$55="Yes")*Methodology!$B$27+(Questionnaire!R$5:R$55="Partial")*Methodology!$B$28+(Questionnaire!R$5:R$55="No")*Methodology!$B$29))/SUMPRODUCT((Questionnaire!$B$5:$B$55=J$5)*Questionnaire!$E$5:$E$55*((Questionnaire!R$5:R$55="Yes")+(Questionnaire!R$5:R$55="Partial")+(Questionnaire!R$5:R$55="No"))),"N/A"))</f>
        <v/>
      </c>
      <c r="K14" s="20" t="str">
        <f aca="false">IF($A14="","",IFERROR(SUMPRODUCT((Questionnaire!$B$5:$B$55=K$5)*Questionnaire!$E$5:$E$55*((Questionnaire!R$5:R$55="Yes")*Methodology!$B$27+(Questionnaire!R$5:R$55="Partial")*Methodology!$B$28+(Questionnaire!R$5:R$55="No")*Methodology!$B$29))/SUMPRODUCT((Questionnaire!$B$5:$B$55=K$5)*Questionnaire!$E$5:$E$55*((Questionnaire!R$5:R$55="Yes")+(Questionnaire!R$5:R$55="Partial")+(Questionnaire!R$5:R$55="No"))),"N/A"))</f>
        <v/>
      </c>
      <c r="L14" s="20" t="str">
        <f aca="false">IF($A14="","",IFERROR(SUMPRODUCT((Questionnaire!$B$5:$B$55=L$5)*Questionnaire!$E$5:$E$55*((Questionnaire!R$5:R$55="Yes")*Methodology!$B$27+(Questionnaire!R$5:R$55="Partial")*Methodology!$B$28+(Questionnaire!R$5:R$55="No")*Methodology!$B$29))/SUMPRODUCT((Questionnaire!$B$5:$B$55=L$5)*Questionnaire!$E$5:$E$55*((Questionnaire!R$5:R$55="Yes")+(Questionnaire!R$5:R$55="Partial")+(Questionnaire!R$5:R$55="No"))),"N/A"))</f>
        <v/>
      </c>
      <c r="M14" s="20" t="str">
        <f aca="false">IF($A14="","",IFERROR(SUMPRODUCT((Questionnaire!$B$5:$B$55=M$5)*Questionnaire!$E$5:$E$55*((Questionnaire!R$5:R$55="Yes")*Methodology!$B$27+(Questionnaire!R$5:R$55="Partial")*Methodology!$B$28+(Questionnaire!R$5:R$55="No")*Methodology!$B$29))/SUMPRODUCT((Questionnaire!$B$5:$B$55=M$5)*Questionnaire!$E$5:$E$55*((Questionnaire!R$5:R$55="Yes")+(Questionnaire!R$5:R$55="Partial")+(Questionnaire!R$5:R$55="No"))),"N/A"))</f>
        <v/>
      </c>
      <c r="N14" s="20" t="str">
        <f aca="false">IF($A14="","",IFERROR(SUMPRODUCT((Questionnaire!$B$5:$B$55=N$5)*Questionnaire!$E$5:$E$55*((Questionnaire!R$5:R$55="Yes")*Methodology!$B$27+(Questionnaire!R$5:R$55="Partial")*Methodology!$B$28+(Questionnaire!R$5:R$55="No")*Methodology!$B$29))/SUMPRODUCT((Questionnaire!$B$5:$B$55=N$5)*Questionnaire!$E$5:$E$55*((Questionnaire!R$5:R$55="Yes")+(Questionnaire!R$5:R$55="Partial")+(Questionnaire!R$5:R$55="No"))),"N/A"))</f>
        <v/>
      </c>
      <c r="O14" s="20" t="str">
        <f aca="false">IF($A14="","",IFERROR(SUMPRODUCT((Questionnaire!$B$5:$B$55=O$5)*Questionnaire!$E$5:$E$55*((Questionnaire!R$5:R$55="Yes")*Methodology!$B$27+(Questionnaire!R$5:R$55="Partial")*Methodology!$B$28+(Questionnaire!R$5:R$55="No")*Methodology!$B$29))/SUMPRODUCT((Questionnaire!$B$5:$B$55=O$5)*Questionnaire!$E$5:$E$55*((Questionnaire!R$5:R$55="Yes")+(Questionnaire!R$5:R$55="Partial")+(Questionnaire!R$5:R$55="No"))),"N/A"))</f>
        <v/>
      </c>
    </row>
    <row r="15" customFormat="false" ht="15" hidden="false" customHeight="false" outlineLevel="0" collapsed="false">
      <c r="A15" s="4" t="str">
        <f aca="false">IF(Vendor_Register!A15="","",Vendor_Register!A15)</f>
        <v/>
      </c>
      <c r="B15" s="4" t="str">
        <f aca="false">IF(A15="","",Vendor_Register!B15)</f>
        <v/>
      </c>
      <c r="C15" s="20" t="str">
        <f aca="false">IF($A15="","",IFERROR(SUMPRODUCT(Questionnaire!$E$5:$E$55*((Questionnaire!S$5:S$55="Yes")*Methodology!$B$27+(Questionnaire!S$5:S$55="Partial")*Methodology!$B$28+(Questionnaire!S$5:S$55="No")*Methodology!$B$29))/SUMPRODUCT(Questionnaire!$E$5:$E$55*((Questionnaire!S$5:S$55="Yes")+(Questionnaire!S$5:S$55="Partial")+(Questionnaire!S$5:S$55="No"))),""))</f>
        <v/>
      </c>
      <c r="D15" s="20" t="str">
        <f aca="false">IF($A15="","",SUMPRODUCT(--(Questionnaire!S$5:S$55&lt;&gt;""))/ROWS(Questionnaire!$A$5:$A$55))</f>
        <v/>
      </c>
      <c r="E15" s="19" t="str">
        <f aca="false">IF($A15="","",SUMPRODUCT((Questionnaire!$F$5:$F$55="Yes")*(Questionnaire!S$5:S$55="No")))</f>
        <v/>
      </c>
      <c r="F15" s="20" t="str">
        <f aca="false">IF($A15="","",IFERROR(SUMPRODUCT((Questionnaire!$B$5:$B$55=F$5)*Questionnaire!$E$5:$E$55*((Questionnaire!S$5:S$55="Yes")*Methodology!$B$27+(Questionnaire!S$5:S$55="Partial")*Methodology!$B$28+(Questionnaire!S$5:S$55="No")*Methodology!$B$29))/SUMPRODUCT((Questionnaire!$B$5:$B$55=F$5)*Questionnaire!$E$5:$E$55*((Questionnaire!S$5:S$55="Yes")+(Questionnaire!S$5:S$55="Partial")+(Questionnaire!S$5:S$55="No"))),"N/A"))</f>
        <v/>
      </c>
      <c r="G15" s="20" t="str">
        <f aca="false">IF($A15="","",IFERROR(SUMPRODUCT((Questionnaire!$B$5:$B$55=G$5)*Questionnaire!$E$5:$E$55*((Questionnaire!S$5:S$55="Yes")*Methodology!$B$27+(Questionnaire!S$5:S$55="Partial")*Methodology!$B$28+(Questionnaire!S$5:S$55="No")*Methodology!$B$29))/SUMPRODUCT((Questionnaire!$B$5:$B$55=G$5)*Questionnaire!$E$5:$E$55*((Questionnaire!S$5:S$55="Yes")+(Questionnaire!S$5:S$55="Partial")+(Questionnaire!S$5:S$55="No"))),"N/A"))</f>
        <v/>
      </c>
      <c r="H15" s="20" t="str">
        <f aca="false">IF($A15="","",IFERROR(SUMPRODUCT((Questionnaire!$B$5:$B$55=H$5)*Questionnaire!$E$5:$E$55*((Questionnaire!S$5:S$55="Yes")*Methodology!$B$27+(Questionnaire!S$5:S$55="Partial")*Methodology!$B$28+(Questionnaire!S$5:S$55="No")*Methodology!$B$29))/SUMPRODUCT((Questionnaire!$B$5:$B$55=H$5)*Questionnaire!$E$5:$E$55*((Questionnaire!S$5:S$55="Yes")+(Questionnaire!S$5:S$55="Partial")+(Questionnaire!S$5:S$55="No"))),"N/A"))</f>
        <v/>
      </c>
      <c r="I15" s="20" t="str">
        <f aca="false">IF($A15="","",IFERROR(SUMPRODUCT((Questionnaire!$B$5:$B$55=I$5)*Questionnaire!$E$5:$E$55*((Questionnaire!S$5:S$55="Yes")*Methodology!$B$27+(Questionnaire!S$5:S$55="Partial")*Methodology!$B$28+(Questionnaire!S$5:S$55="No")*Methodology!$B$29))/SUMPRODUCT((Questionnaire!$B$5:$B$55=I$5)*Questionnaire!$E$5:$E$55*((Questionnaire!S$5:S$55="Yes")+(Questionnaire!S$5:S$55="Partial")+(Questionnaire!S$5:S$55="No"))),"N/A"))</f>
        <v/>
      </c>
      <c r="J15" s="20" t="str">
        <f aca="false">IF($A15="","",IFERROR(SUMPRODUCT((Questionnaire!$B$5:$B$55=J$5)*Questionnaire!$E$5:$E$55*((Questionnaire!S$5:S$55="Yes")*Methodology!$B$27+(Questionnaire!S$5:S$55="Partial")*Methodology!$B$28+(Questionnaire!S$5:S$55="No")*Methodology!$B$29))/SUMPRODUCT((Questionnaire!$B$5:$B$55=J$5)*Questionnaire!$E$5:$E$55*((Questionnaire!S$5:S$55="Yes")+(Questionnaire!S$5:S$55="Partial")+(Questionnaire!S$5:S$55="No"))),"N/A"))</f>
        <v/>
      </c>
      <c r="K15" s="20" t="str">
        <f aca="false">IF($A15="","",IFERROR(SUMPRODUCT((Questionnaire!$B$5:$B$55=K$5)*Questionnaire!$E$5:$E$55*((Questionnaire!S$5:S$55="Yes")*Methodology!$B$27+(Questionnaire!S$5:S$55="Partial")*Methodology!$B$28+(Questionnaire!S$5:S$55="No")*Methodology!$B$29))/SUMPRODUCT((Questionnaire!$B$5:$B$55=K$5)*Questionnaire!$E$5:$E$55*((Questionnaire!S$5:S$55="Yes")+(Questionnaire!S$5:S$55="Partial")+(Questionnaire!S$5:S$55="No"))),"N/A"))</f>
        <v/>
      </c>
      <c r="L15" s="20" t="str">
        <f aca="false">IF($A15="","",IFERROR(SUMPRODUCT((Questionnaire!$B$5:$B$55=L$5)*Questionnaire!$E$5:$E$55*((Questionnaire!S$5:S$55="Yes")*Methodology!$B$27+(Questionnaire!S$5:S$55="Partial")*Methodology!$B$28+(Questionnaire!S$5:S$55="No")*Methodology!$B$29))/SUMPRODUCT((Questionnaire!$B$5:$B$55=L$5)*Questionnaire!$E$5:$E$55*((Questionnaire!S$5:S$55="Yes")+(Questionnaire!S$5:S$55="Partial")+(Questionnaire!S$5:S$55="No"))),"N/A"))</f>
        <v/>
      </c>
      <c r="M15" s="20" t="str">
        <f aca="false">IF($A15="","",IFERROR(SUMPRODUCT((Questionnaire!$B$5:$B$55=M$5)*Questionnaire!$E$5:$E$55*((Questionnaire!S$5:S$55="Yes")*Methodology!$B$27+(Questionnaire!S$5:S$55="Partial")*Methodology!$B$28+(Questionnaire!S$5:S$55="No")*Methodology!$B$29))/SUMPRODUCT((Questionnaire!$B$5:$B$55=M$5)*Questionnaire!$E$5:$E$55*((Questionnaire!S$5:S$55="Yes")+(Questionnaire!S$5:S$55="Partial")+(Questionnaire!S$5:S$55="No"))),"N/A"))</f>
        <v/>
      </c>
      <c r="N15" s="20" t="str">
        <f aca="false">IF($A15="","",IFERROR(SUMPRODUCT((Questionnaire!$B$5:$B$55=N$5)*Questionnaire!$E$5:$E$55*((Questionnaire!S$5:S$55="Yes")*Methodology!$B$27+(Questionnaire!S$5:S$55="Partial")*Methodology!$B$28+(Questionnaire!S$5:S$55="No")*Methodology!$B$29))/SUMPRODUCT((Questionnaire!$B$5:$B$55=N$5)*Questionnaire!$E$5:$E$55*((Questionnaire!S$5:S$55="Yes")+(Questionnaire!S$5:S$55="Partial")+(Questionnaire!S$5:S$55="No"))),"N/A"))</f>
        <v/>
      </c>
      <c r="O15" s="20" t="str">
        <f aca="false">IF($A15="","",IFERROR(SUMPRODUCT((Questionnaire!$B$5:$B$55=O$5)*Questionnaire!$E$5:$E$55*((Questionnaire!S$5:S$55="Yes")*Methodology!$B$27+(Questionnaire!S$5:S$55="Partial")*Methodology!$B$28+(Questionnaire!S$5:S$55="No")*Methodology!$B$29))/SUMPRODUCT((Questionnaire!$B$5:$B$55=O$5)*Questionnaire!$E$5:$E$55*((Questionnaire!S$5:S$55="Yes")+(Questionnaire!S$5:S$55="Partial")+(Questionnaire!S$5:S$55="No"))),"N/A"))</f>
        <v/>
      </c>
    </row>
    <row r="17" customFormat="false" ht="15" hidden="false" customHeight="false" outlineLevel="0" collapsed="false">
      <c r="A17" s="2" t="s">
        <v>480</v>
      </c>
    </row>
  </sheetData>
  <conditionalFormatting sqref="C6:C15">
    <cfRule type="cellIs" priority="2" operator="lessThan" aboveAverage="0" equalAverage="0" bottom="0" percent="0" rank="0" text="" dxfId="9">
      <formula>0.6</formula>
    </cfRule>
  </conditionalFormatting>
  <conditionalFormatting sqref="F6:O15">
    <cfRule type="cellIs" priority="3" operator="lessThan" aboveAverage="0" equalAverage="0" bottom="0" percent="0" rank="0" text="" dxfId="9">
      <formula>0.6</formula>
    </cfRule>
    <cfRule type="cellIs" priority="4" operator="greaterThanOrEqual" aboveAverage="0" equalAverage="0" bottom="0" percent="0" rank="0" text="" dxfId="10">
      <formula>0.9</formula>
    </cfRule>
  </conditionalFormatting>
  <conditionalFormatting sqref="E6:E15">
    <cfRule type="cellIs" priority="5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FAADC"/>
    <pageSetUpPr fitToPage="true"/>
  </sheetPr>
  <dimension ref="A1:J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8"/>
    <col collapsed="false" customWidth="true" hidden="false" outlineLevel="0" max="3" min="3" style="0" width="66"/>
    <col collapsed="false" customWidth="true" hidden="false" outlineLevel="0" max="4" min="4" style="0" width="10"/>
    <col collapsed="false" customWidth="true" hidden="false" outlineLevel="0" max="5" min="5" style="0" width="26"/>
    <col collapsed="false" customWidth="true" hidden="false" outlineLevel="0" max="6" min="6" style="0" width="22"/>
    <col collapsed="false" customWidth="true" hidden="false" outlineLevel="0" max="9" min="7" style="0" width="14"/>
    <col collapsed="false" customWidth="true" hidden="false" outlineLevel="0" max="10" min="10" style="0" width="50"/>
  </cols>
  <sheetData>
    <row r="1" customFormat="false" ht="19.7" hidden="false" customHeight="false" outlineLevel="0" collapsed="false">
      <c r="A1" s="1" t="s">
        <v>481</v>
      </c>
    </row>
    <row r="2" customFormat="false" ht="15" hidden="false" customHeight="false" outlineLevel="0" collapsed="false">
      <c r="A2" s="2" t="s">
        <v>482</v>
      </c>
    </row>
    <row r="3" customFormat="false" ht="15" hidden="false" customHeight="false" outlineLevel="0" collapsed="false">
      <c r="A3" s="13" t="s">
        <v>483</v>
      </c>
      <c r="B3" s="22" t="s">
        <v>81</v>
      </c>
      <c r="C3" s="34" t="str">
        <f aca="false">IFERROR(INDEX(Vendor_Register!$B$6:$B$15,MATCH($B$3,Vendor_Register!$A$6:$A$15,0)),"")</f>
        <v>NimbusAI Language Platform</v>
      </c>
    </row>
    <row r="4" customFormat="false" ht="15" hidden="false" customHeight="false" outlineLevel="0" collapsed="false">
      <c r="A4" s="13" t="s">
        <v>484</v>
      </c>
      <c r="B4" s="35" t="str">
        <f aca="false">IFERROR(INDEX(Vendor_Register!$D$6:$D$15,MATCH($B$3,Vendor_Register!$A$6:$A$15,0)),"")</f>
        <v>AI/ML Software</v>
      </c>
    </row>
    <row r="5" customFormat="false" ht="15" hidden="false" customHeight="false" outlineLevel="0" collapsed="false">
      <c r="A5" s="13" t="s">
        <v>485</v>
      </c>
      <c r="B5" s="36" t="str">
        <f aca="false">IFERROR(INDEX(Vendor_Register!$M$6:$M$15,MATCH($B$3,Vendor_Register!$A$6:$A$15,0)),"")</f>
        <v>High</v>
      </c>
    </row>
    <row r="6" customFormat="false" ht="15" hidden="false" customHeight="false" outlineLevel="0" collapsed="false">
      <c r="A6" s="13" t="s">
        <v>486</v>
      </c>
      <c r="B6" s="37" t="n">
        <f aca="false">IFERROR(COUNTIF(G9:G42,"Complete")/(COUNTA(A9:A42)-COUNTIF(G9:G42,"N/A")),0)</f>
        <v>0.354838709677419</v>
      </c>
      <c r="C6" s="38" t="str">
        <f aca="false">COUNTIF(G9:G42,"Exception")&amp;" open exception(s)"</f>
        <v>1 open exception(s)</v>
      </c>
    </row>
    <row r="8" customFormat="false" ht="33.75" hidden="false" customHeight="true" outlineLevel="0" collapsed="false">
      <c r="A8" s="10" t="s">
        <v>487</v>
      </c>
      <c r="B8" s="10" t="s">
        <v>488</v>
      </c>
      <c r="C8" s="10" t="s">
        <v>489</v>
      </c>
      <c r="D8" s="10" t="s">
        <v>224</v>
      </c>
      <c r="E8" s="10" t="s">
        <v>490</v>
      </c>
      <c r="F8" s="10" t="s">
        <v>491</v>
      </c>
      <c r="G8" s="10" t="s">
        <v>37</v>
      </c>
      <c r="H8" s="10" t="s">
        <v>492</v>
      </c>
      <c r="I8" s="10" t="s">
        <v>493</v>
      </c>
      <c r="J8" s="10" t="s">
        <v>494</v>
      </c>
    </row>
    <row r="9" customFormat="false" ht="15" hidden="false" customHeight="false" outlineLevel="0" collapsed="false">
      <c r="A9" s="12" t="s">
        <v>495</v>
      </c>
      <c r="B9" s="4" t="s">
        <v>496</v>
      </c>
      <c r="C9" s="4" t="s">
        <v>497</v>
      </c>
      <c r="D9" s="12" t="s">
        <v>233</v>
      </c>
      <c r="E9" s="4" t="s">
        <v>498</v>
      </c>
      <c r="F9" s="4" t="s">
        <v>499</v>
      </c>
      <c r="G9" s="22" t="s">
        <v>500</v>
      </c>
      <c r="H9" s="21" t="s">
        <v>501</v>
      </c>
      <c r="I9" s="24" t="n">
        <v>46296</v>
      </c>
      <c r="J9" s="21"/>
    </row>
    <row r="10" customFormat="false" ht="23.85" hidden="false" customHeight="false" outlineLevel="0" collapsed="false">
      <c r="A10" s="12" t="s">
        <v>502</v>
      </c>
      <c r="B10" s="4" t="s">
        <v>496</v>
      </c>
      <c r="C10" s="4" t="s">
        <v>503</v>
      </c>
      <c r="D10" s="12" t="s">
        <v>233</v>
      </c>
      <c r="E10" s="4" t="s">
        <v>504</v>
      </c>
      <c r="F10" s="4" t="s">
        <v>505</v>
      </c>
      <c r="G10" s="22" t="s">
        <v>500</v>
      </c>
      <c r="H10" s="21" t="s">
        <v>501</v>
      </c>
      <c r="I10" s="24" t="n">
        <v>46297</v>
      </c>
      <c r="J10" s="21"/>
    </row>
    <row r="11" customFormat="false" ht="23.85" hidden="false" customHeight="false" outlineLevel="0" collapsed="false">
      <c r="A11" s="12" t="s">
        <v>506</v>
      </c>
      <c r="B11" s="4" t="s">
        <v>496</v>
      </c>
      <c r="C11" s="4" t="s">
        <v>507</v>
      </c>
      <c r="D11" s="12" t="s">
        <v>233</v>
      </c>
      <c r="E11" s="4" t="s">
        <v>508</v>
      </c>
      <c r="F11" s="4" t="s">
        <v>509</v>
      </c>
      <c r="G11" s="22" t="s">
        <v>500</v>
      </c>
      <c r="H11" s="21" t="s">
        <v>510</v>
      </c>
      <c r="I11" s="24" t="n">
        <v>46300</v>
      </c>
      <c r="J11" s="21"/>
    </row>
    <row r="12" customFormat="false" ht="15" hidden="false" customHeight="false" outlineLevel="0" collapsed="false">
      <c r="A12" s="12" t="s">
        <v>511</v>
      </c>
      <c r="B12" s="4" t="s">
        <v>496</v>
      </c>
      <c r="C12" s="4" t="s">
        <v>512</v>
      </c>
      <c r="D12" s="12" t="s">
        <v>233</v>
      </c>
      <c r="E12" s="4" t="s">
        <v>513</v>
      </c>
      <c r="F12" s="4" t="s">
        <v>514</v>
      </c>
      <c r="G12" s="22" t="s">
        <v>500</v>
      </c>
      <c r="H12" s="21" t="s">
        <v>510</v>
      </c>
      <c r="I12" s="24" t="n">
        <v>46300</v>
      </c>
      <c r="J12" s="21"/>
    </row>
    <row r="13" customFormat="false" ht="23.85" hidden="false" customHeight="false" outlineLevel="0" collapsed="false">
      <c r="A13" s="12" t="s">
        <v>515</v>
      </c>
      <c r="B13" s="4" t="s">
        <v>516</v>
      </c>
      <c r="C13" s="4" t="s">
        <v>517</v>
      </c>
      <c r="D13" s="12" t="s">
        <v>233</v>
      </c>
      <c r="E13" s="4" t="s">
        <v>518</v>
      </c>
      <c r="F13" s="4" t="s">
        <v>505</v>
      </c>
      <c r="G13" s="22" t="s">
        <v>500</v>
      </c>
      <c r="H13" s="21" t="s">
        <v>501</v>
      </c>
      <c r="I13" s="24" t="n">
        <v>46309</v>
      </c>
      <c r="J13" s="21"/>
    </row>
    <row r="14" customFormat="false" ht="23.85" hidden="false" customHeight="false" outlineLevel="0" collapsed="false">
      <c r="A14" s="12" t="s">
        <v>519</v>
      </c>
      <c r="B14" s="4" t="s">
        <v>516</v>
      </c>
      <c r="C14" s="4" t="s">
        <v>520</v>
      </c>
      <c r="D14" s="12" t="s">
        <v>233</v>
      </c>
      <c r="E14" s="4" t="s">
        <v>521</v>
      </c>
      <c r="F14" s="4" t="s">
        <v>522</v>
      </c>
      <c r="G14" s="22" t="s">
        <v>500</v>
      </c>
      <c r="H14" s="21" t="s">
        <v>523</v>
      </c>
      <c r="I14" s="24" t="n">
        <v>46310</v>
      </c>
      <c r="J14" s="21" t="s">
        <v>524</v>
      </c>
    </row>
    <row r="15" customFormat="false" ht="23.85" hidden="false" customHeight="false" outlineLevel="0" collapsed="false">
      <c r="A15" s="12" t="s">
        <v>525</v>
      </c>
      <c r="B15" s="4" t="s">
        <v>516</v>
      </c>
      <c r="C15" s="4" t="s">
        <v>526</v>
      </c>
      <c r="D15" s="12" t="s">
        <v>233</v>
      </c>
      <c r="E15" s="4" t="s">
        <v>527</v>
      </c>
      <c r="F15" s="4" t="s">
        <v>522</v>
      </c>
      <c r="G15" s="22" t="s">
        <v>528</v>
      </c>
      <c r="H15" s="21"/>
      <c r="I15" s="24"/>
      <c r="J15" s="21"/>
    </row>
    <row r="16" customFormat="false" ht="23.85" hidden="false" customHeight="false" outlineLevel="0" collapsed="false">
      <c r="A16" s="12" t="s">
        <v>529</v>
      </c>
      <c r="B16" s="4" t="s">
        <v>516</v>
      </c>
      <c r="C16" s="4" t="s">
        <v>530</v>
      </c>
      <c r="D16" s="12" t="s">
        <v>233</v>
      </c>
      <c r="E16" s="4" t="s">
        <v>531</v>
      </c>
      <c r="F16" s="4" t="s">
        <v>532</v>
      </c>
      <c r="G16" s="22" t="s">
        <v>500</v>
      </c>
      <c r="H16" s="21" t="s">
        <v>523</v>
      </c>
      <c r="I16" s="24" t="n">
        <v>46311</v>
      </c>
      <c r="J16" s="21"/>
    </row>
    <row r="17" customFormat="false" ht="15" hidden="false" customHeight="false" outlineLevel="0" collapsed="false">
      <c r="A17" s="12" t="s">
        <v>533</v>
      </c>
      <c r="B17" s="4" t="s">
        <v>516</v>
      </c>
      <c r="C17" s="4" t="s">
        <v>534</v>
      </c>
      <c r="D17" s="12" t="s">
        <v>233</v>
      </c>
      <c r="E17" s="4" t="s">
        <v>535</v>
      </c>
      <c r="F17" s="4" t="s">
        <v>522</v>
      </c>
      <c r="G17" s="22" t="s">
        <v>528</v>
      </c>
      <c r="H17" s="21"/>
      <c r="I17" s="24"/>
      <c r="J17" s="21"/>
    </row>
    <row r="18" customFormat="false" ht="15" hidden="false" customHeight="false" outlineLevel="0" collapsed="false">
      <c r="A18" s="12" t="s">
        <v>536</v>
      </c>
      <c r="B18" s="4" t="s">
        <v>516</v>
      </c>
      <c r="C18" s="4" t="s">
        <v>537</v>
      </c>
      <c r="D18" s="12" t="s">
        <v>233</v>
      </c>
      <c r="E18" s="4" t="s">
        <v>538</v>
      </c>
      <c r="F18" s="4" t="s">
        <v>505</v>
      </c>
      <c r="G18" s="22" t="s">
        <v>500</v>
      </c>
      <c r="H18" s="21" t="s">
        <v>501</v>
      </c>
      <c r="I18" s="24" t="n">
        <v>46307</v>
      </c>
      <c r="J18" s="21"/>
    </row>
    <row r="19" customFormat="false" ht="23.85" hidden="false" customHeight="false" outlineLevel="0" collapsed="false">
      <c r="A19" s="12" t="s">
        <v>539</v>
      </c>
      <c r="B19" s="4" t="s">
        <v>516</v>
      </c>
      <c r="C19" s="4" t="s">
        <v>540</v>
      </c>
      <c r="D19" s="12" t="s">
        <v>233</v>
      </c>
      <c r="E19" s="4" t="s">
        <v>541</v>
      </c>
      <c r="F19" s="4" t="s">
        <v>522</v>
      </c>
      <c r="G19" s="22" t="s">
        <v>500</v>
      </c>
      <c r="H19" s="21" t="s">
        <v>523</v>
      </c>
      <c r="I19" s="24" t="n">
        <v>46308</v>
      </c>
      <c r="J19" s="21"/>
    </row>
    <row r="20" customFormat="false" ht="23.85" hidden="false" customHeight="false" outlineLevel="0" collapsed="false">
      <c r="A20" s="12" t="s">
        <v>542</v>
      </c>
      <c r="B20" s="4" t="s">
        <v>516</v>
      </c>
      <c r="C20" s="4" t="s">
        <v>543</v>
      </c>
      <c r="D20" s="12" t="s">
        <v>233</v>
      </c>
      <c r="E20" s="4" t="s">
        <v>544</v>
      </c>
      <c r="F20" s="4" t="s">
        <v>505</v>
      </c>
      <c r="G20" s="22" t="s">
        <v>528</v>
      </c>
      <c r="H20" s="21"/>
      <c r="I20" s="24"/>
      <c r="J20" s="21" t="s">
        <v>545</v>
      </c>
    </row>
    <row r="21" customFormat="false" ht="23.85" hidden="false" customHeight="false" outlineLevel="0" collapsed="false">
      <c r="A21" s="12" t="s">
        <v>546</v>
      </c>
      <c r="B21" s="4" t="s">
        <v>547</v>
      </c>
      <c r="C21" s="4" t="s">
        <v>548</v>
      </c>
      <c r="D21" s="12" t="s">
        <v>233</v>
      </c>
      <c r="E21" s="4" t="s">
        <v>549</v>
      </c>
      <c r="F21" s="4" t="s">
        <v>550</v>
      </c>
      <c r="G21" s="22" t="s">
        <v>528</v>
      </c>
      <c r="H21" s="21"/>
      <c r="I21" s="24"/>
      <c r="J21" s="21"/>
    </row>
    <row r="22" customFormat="false" ht="23.85" hidden="false" customHeight="false" outlineLevel="0" collapsed="false">
      <c r="A22" s="12" t="s">
        <v>551</v>
      </c>
      <c r="B22" s="4" t="s">
        <v>547</v>
      </c>
      <c r="C22" s="4" t="s">
        <v>552</v>
      </c>
      <c r="D22" s="12" t="s">
        <v>233</v>
      </c>
      <c r="E22" s="4" t="s">
        <v>553</v>
      </c>
      <c r="F22" s="4" t="s">
        <v>550</v>
      </c>
      <c r="G22" s="22" t="s">
        <v>528</v>
      </c>
      <c r="H22" s="21"/>
      <c r="I22" s="24"/>
      <c r="J22" s="21"/>
    </row>
    <row r="23" customFormat="false" ht="23.85" hidden="false" customHeight="false" outlineLevel="0" collapsed="false">
      <c r="A23" s="12" t="s">
        <v>554</v>
      </c>
      <c r="B23" s="4" t="s">
        <v>547</v>
      </c>
      <c r="C23" s="4" t="s">
        <v>555</v>
      </c>
      <c r="D23" s="12" t="s">
        <v>233</v>
      </c>
      <c r="E23" s="4" t="s">
        <v>556</v>
      </c>
      <c r="F23" s="4" t="s">
        <v>550</v>
      </c>
      <c r="G23" s="22" t="s">
        <v>528</v>
      </c>
      <c r="H23" s="21"/>
      <c r="I23" s="24"/>
      <c r="J23" s="21"/>
    </row>
    <row r="24" customFormat="false" ht="23.85" hidden="false" customHeight="false" outlineLevel="0" collapsed="false">
      <c r="A24" s="12" t="s">
        <v>557</v>
      </c>
      <c r="B24" s="4" t="s">
        <v>547</v>
      </c>
      <c r="C24" s="4" t="s">
        <v>558</v>
      </c>
      <c r="D24" s="12" t="s">
        <v>233</v>
      </c>
      <c r="E24" s="4" t="s">
        <v>559</v>
      </c>
      <c r="F24" s="4" t="s">
        <v>560</v>
      </c>
      <c r="G24" s="22" t="s">
        <v>528</v>
      </c>
      <c r="H24" s="21"/>
      <c r="I24" s="24"/>
      <c r="J24" s="21"/>
    </row>
    <row r="25" customFormat="false" ht="15" hidden="false" customHeight="false" outlineLevel="0" collapsed="false">
      <c r="A25" s="12" t="s">
        <v>561</v>
      </c>
      <c r="B25" s="4" t="s">
        <v>547</v>
      </c>
      <c r="C25" s="4" t="s">
        <v>562</v>
      </c>
      <c r="D25" s="12" t="s">
        <v>233</v>
      </c>
      <c r="E25" s="4" t="s">
        <v>563</v>
      </c>
      <c r="F25" s="4" t="s">
        <v>564</v>
      </c>
      <c r="G25" s="22" t="s">
        <v>565</v>
      </c>
      <c r="H25" s="21"/>
      <c r="I25" s="24"/>
      <c r="J25" s="21"/>
    </row>
    <row r="26" customFormat="false" ht="23.85" hidden="false" customHeight="false" outlineLevel="0" collapsed="false">
      <c r="A26" s="12" t="s">
        <v>566</v>
      </c>
      <c r="B26" s="4" t="s">
        <v>567</v>
      </c>
      <c r="C26" s="4" t="s">
        <v>568</v>
      </c>
      <c r="D26" s="12" t="s">
        <v>233</v>
      </c>
      <c r="E26" s="4" t="s">
        <v>569</v>
      </c>
      <c r="F26" s="4" t="s">
        <v>570</v>
      </c>
      <c r="G26" s="22" t="s">
        <v>565</v>
      </c>
      <c r="H26" s="21"/>
      <c r="I26" s="24"/>
      <c r="J26" s="21"/>
    </row>
    <row r="27" customFormat="false" ht="23.85" hidden="false" customHeight="false" outlineLevel="0" collapsed="false">
      <c r="A27" s="12" t="s">
        <v>571</v>
      </c>
      <c r="B27" s="4" t="s">
        <v>567</v>
      </c>
      <c r="C27" s="4" t="s">
        <v>572</v>
      </c>
      <c r="D27" s="12" t="s">
        <v>233</v>
      </c>
      <c r="E27" s="4" t="s">
        <v>573</v>
      </c>
      <c r="F27" s="4" t="s">
        <v>499</v>
      </c>
      <c r="G27" s="22" t="s">
        <v>565</v>
      </c>
      <c r="H27" s="21"/>
      <c r="I27" s="24"/>
      <c r="J27" s="21"/>
    </row>
    <row r="28" customFormat="false" ht="23.85" hidden="false" customHeight="false" outlineLevel="0" collapsed="false">
      <c r="A28" s="12" t="s">
        <v>574</v>
      </c>
      <c r="B28" s="4" t="s">
        <v>575</v>
      </c>
      <c r="C28" s="4" t="s">
        <v>576</v>
      </c>
      <c r="D28" s="12" t="s">
        <v>577</v>
      </c>
      <c r="E28" s="4" t="s">
        <v>578</v>
      </c>
      <c r="F28" s="4" t="s">
        <v>532</v>
      </c>
      <c r="G28" s="22" t="s">
        <v>182</v>
      </c>
      <c r="H28" s="21"/>
      <c r="I28" s="24"/>
      <c r="J28" s="21" t="s">
        <v>579</v>
      </c>
    </row>
    <row r="29" customFormat="false" ht="23.85" hidden="false" customHeight="false" outlineLevel="0" collapsed="false">
      <c r="A29" s="12" t="s">
        <v>580</v>
      </c>
      <c r="B29" s="4" t="s">
        <v>575</v>
      </c>
      <c r="C29" s="4" t="s">
        <v>581</v>
      </c>
      <c r="D29" s="12" t="s">
        <v>577</v>
      </c>
      <c r="E29" s="4" t="s">
        <v>582</v>
      </c>
      <c r="F29" s="4" t="s">
        <v>532</v>
      </c>
      <c r="G29" s="22" t="s">
        <v>182</v>
      </c>
      <c r="H29" s="21"/>
      <c r="I29" s="24"/>
      <c r="J29" s="21" t="s">
        <v>583</v>
      </c>
    </row>
    <row r="30" customFormat="false" ht="23.85" hidden="false" customHeight="false" outlineLevel="0" collapsed="false">
      <c r="A30" s="12" t="s">
        <v>584</v>
      </c>
      <c r="B30" s="4" t="s">
        <v>575</v>
      </c>
      <c r="C30" s="4" t="s">
        <v>585</v>
      </c>
      <c r="D30" s="12" t="s">
        <v>577</v>
      </c>
      <c r="E30" s="4" t="s">
        <v>586</v>
      </c>
      <c r="F30" s="4" t="s">
        <v>587</v>
      </c>
      <c r="G30" s="22" t="s">
        <v>182</v>
      </c>
      <c r="H30" s="21"/>
      <c r="I30" s="24"/>
      <c r="J30" s="21" t="s">
        <v>583</v>
      </c>
    </row>
    <row r="31" customFormat="false" ht="23.85" hidden="false" customHeight="false" outlineLevel="0" collapsed="false">
      <c r="A31" s="12" t="s">
        <v>588</v>
      </c>
      <c r="B31" s="4" t="s">
        <v>589</v>
      </c>
      <c r="C31" s="4" t="s">
        <v>590</v>
      </c>
      <c r="D31" s="12" t="s">
        <v>435</v>
      </c>
      <c r="E31" s="4" t="s">
        <v>591</v>
      </c>
      <c r="F31" s="4" t="s">
        <v>592</v>
      </c>
      <c r="G31" s="22" t="s">
        <v>500</v>
      </c>
      <c r="H31" s="21" t="s">
        <v>593</v>
      </c>
      <c r="I31" s="24" t="n">
        <v>46314</v>
      </c>
      <c r="J31" s="21"/>
    </row>
    <row r="32" customFormat="false" ht="35.05" hidden="false" customHeight="false" outlineLevel="0" collapsed="false">
      <c r="A32" s="12" t="s">
        <v>594</v>
      </c>
      <c r="B32" s="4" t="s">
        <v>589</v>
      </c>
      <c r="C32" s="4" t="s">
        <v>595</v>
      </c>
      <c r="D32" s="12" t="s">
        <v>435</v>
      </c>
      <c r="E32" s="4" t="s">
        <v>596</v>
      </c>
      <c r="F32" s="4" t="s">
        <v>550</v>
      </c>
      <c r="G32" s="22" t="s">
        <v>597</v>
      </c>
      <c r="H32" s="21" t="s">
        <v>598</v>
      </c>
      <c r="I32" s="24"/>
      <c r="J32" s="21" t="s">
        <v>599</v>
      </c>
    </row>
    <row r="33" customFormat="false" ht="23.85" hidden="false" customHeight="false" outlineLevel="0" collapsed="false">
      <c r="A33" s="12" t="s">
        <v>600</v>
      </c>
      <c r="B33" s="4" t="s">
        <v>589</v>
      </c>
      <c r="C33" s="4" t="s">
        <v>601</v>
      </c>
      <c r="D33" s="12" t="s">
        <v>435</v>
      </c>
      <c r="E33" s="4" t="s">
        <v>602</v>
      </c>
      <c r="F33" s="4" t="s">
        <v>603</v>
      </c>
      <c r="G33" s="22" t="s">
        <v>500</v>
      </c>
      <c r="H33" s="21" t="s">
        <v>593</v>
      </c>
      <c r="I33" s="24" t="n">
        <v>46315</v>
      </c>
      <c r="J33" s="21"/>
    </row>
    <row r="34" customFormat="false" ht="23.85" hidden="false" customHeight="false" outlineLevel="0" collapsed="false">
      <c r="A34" s="12" t="s">
        <v>604</v>
      </c>
      <c r="B34" s="4" t="s">
        <v>589</v>
      </c>
      <c r="C34" s="4" t="s">
        <v>605</v>
      </c>
      <c r="D34" s="12" t="s">
        <v>435</v>
      </c>
      <c r="E34" s="4" t="s">
        <v>606</v>
      </c>
      <c r="F34" s="4" t="s">
        <v>592</v>
      </c>
      <c r="G34" s="22" t="s">
        <v>528</v>
      </c>
      <c r="H34" s="21"/>
      <c r="I34" s="24"/>
      <c r="J34" s="21"/>
    </row>
    <row r="35" customFormat="false" ht="23.85" hidden="false" customHeight="false" outlineLevel="0" collapsed="false">
      <c r="A35" s="12" t="s">
        <v>607</v>
      </c>
      <c r="B35" s="4" t="s">
        <v>589</v>
      </c>
      <c r="C35" s="4" t="s">
        <v>608</v>
      </c>
      <c r="D35" s="12" t="s">
        <v>435</v>
      </c>
      <c r="E35" s="4" t="s">
        <v>609</v>
      </c>
      <c r="F35" s="4" t="s">
        <v>592</v>
      </c>
      <c r="G35" s="22" t="s">
        <v>528</v>
      </c>
      <c r="H35" s="21"/>
      <c r="I35" s="24"/>
      <c r="J35" s="21"/>
    </row>
    <row r="36" customFormat="false" ht="15" hidden="false" customHeight="false" outlineLevel="0" collapsed="false">
      <c r="A36" s="12" t="s">
        <v>610</v>
      </c>
      <c r="B36" s="4" t="s">
        <v>589</v>
      </c>
      <c r="C36" s="4" t="s">
        <v>611</v>
      </c>
      <c r="D36" s="12" t="s">
        <v>435</v>
      </c>
      <c r="E36" s="4" t="s">
        <v>612</v>
      </c>
      <c r="F36" s="4" t="s">
        <v>522</v>
      </c>
      <c r="G36" s="22" t="s">
        <v>565</v>
      </c>
      <c r="H36" s="21"/>
      <c r="I36" s="24"/>
      <c r="J36" s="21"/>
    </row>
    <row r="37" customFormat="false" ht="15" hidden="false" customHeight="false" outlineLevel="0" collapsed="false">
      <c r="A37" s="12" t="s">
        <v>613</v>
      </c>
      <c r="B37" s="4" t="s">
        <v>589</v>
      </c>
      <c r="C37" s="4" t="s">
        <v>614</v>
      </c>
      <c r="D37" s="12" t="s">
        <v>435</v>
      </c>
      <c r="E37" s="4" t="s">
        <v>615</v>
      </c>
      <c r="F37" s="4" t="s">
        <v>616</v>
      </c>
      <c r="G37" s="22" t="s">
        <v>565</v>
      </c>
      <c r="H37" s="21"/>
      <c r="I37" s="24"/>
      <c r="J37" s="21"/>
    </row>
    <row r="38" customFormat="false" ht="15" hidden="false" customHeight="false" outlineLevel="0" collapsed="false">
      <c r="A38" s="12" t="s">
        <v>617</v>
      </c>
      <c r="B38" s="4" t="s">
        <v>618</v>
      </c>
      <c r="C38" s="4" t="s">
        <v>619</v>
      </c>
      <c r="D38" s="12" t="s">
        <v>233</v>
      </c>
      <c r="E38" s="4" t="s">
        <v>620</v>
      </c>
      <c r="F38" s="4" t="s">
        <v>505</v>
      </c>
      <c r="G38" s="22" t="s">
        <v>565</v>
      </c>
      <c r="H38" s="21"/>
      <c r="I38" s="24"/>
      <c r="J38" s="21"/>
    </row>
    <row r="39" customFormat="false" ht="23.85" hidden="false" customHeight="false" outlineLevel="0" collapsed="false">
      <c r="A39" s="12" t="s">
        <v>621</v>
      </c>
      <c r="B39" s="4" t="s">
        <v>618</v>
      </c>
      <c r="C39" s="4" t="s">
        <v>622</v>
      </c>
      <c r="D39" s="12" t="s">
        <v>233</v>
      </c>
      <c r="E39" s="4" t="s">
        <v>623</v>
      </c>
      <c r="F39" s="4" t="s">
        <v>624</v>
      </c>
      <c r="G39" s="22" t="s">
        <v>565</v>
      </c>
      <c r="H39" s="21"/>
      <c r="I39" s="24"/>
      <c r="J39" s="21"/>
    </row>
    <row r="40" customFormat="false" ht="23.85" hidden="false" customHeight="false" outlineLevel="0" collapsed="false">
      <c r="A40" s="12" t="s">
        <v>625</v>
      </c>
      <c r="B40" s="4" t="s">
        <v>618</v>
      </c>
      <c r="C40" s="4" t="s">
        <v>626</v>
      </c>
      <c r="D40" s="12" t="s">
        <v>233</v>
      </c>
      <c r="E40" s="4" t="s">
        <v>627</v>
      </c>
      <c r="F40" s="4" t="s">
        <v>628</v>
      </c>
      <c r="G40" s="22" t="s">
        <v>565</v>
      </c>
      <c r="H40" s="21"/>
      <c r="I40" s="24"/>
      <c r="J40" s="21"/>
    </row>
    <row r="41" customFormat="false" ht="15" hidden="false" customHeight="false" outlineLevel="0" collapsed="false">
      <c r="A41" s="12" t="s">
        <v>629</v>
      </c>
      <c r="B41" s="4" t="s">
        <v>618</v>
      </c>
      <c r="C41" s="4" t="s">
        <v>630</v>
      </c>
      <c r="D41" s="12" t="s">
        <v>233</v>
      </c>
      <c r="E41" s="4" t="s">
        <v>631</v>
      </c>
      <c r="F41" s="4" t="s">
        <v>505</v>
      </c>
      <c r="G41" s="22" t="s">
        <v>565</v>
      </c>
      <c r="H41" s="21"/>
      <c r="I41" s="24"/>
      <c r="J41" s="21"/>
    </row>
    <row r="42" customFormat="false" ht="15" hidden="false" customHeight="false" outlineLevel="0" collapsed="false">
      <c r="A42" s="12" t="s">
        <v>632</v>
      </c>
      <c r="B42" s="4" t="s">
        <v>618</v>
      </c>
      <c r="C42" s="4" t="s">
        <v>633</v>
      </c>
      <c r="D42" s="12" t="s">
        <v>233</v>
      </c>
      <c r="E42" s="4" t="s">
        <v>634</v>
      </c>
      <c r="F42" s="4" t="s">
        <v>505</v>
      </c>
      <c r="G42" s="22" t="s">
        <v>565</v>
      </c>
      <c r="H42" s="21"/>
      <c r="I42" s="24"/>
      <c r="J42" s="21"/>
    </row>
    <row r="44" customFormat="false" ht="15" hidden="false" customHeight="false" outlineLevel="0" collapsed="false">
      <c r="A44" s="2" t="s">
        <v>635</v>
      </c>
    </row>
  </sheetData>
  <conditionalFormatting sqref="G9:G42">
    <cfRule type="cellIs" priority="2" operator="equal" aboveAverage="0" equalAverage="0" bottom="0" percent="0" rank="0" text="" dxfId="6">
      <formula>"Complete"</formula>
    </cfRule>
    <cfRule type="cellIs" priority="3" operator="equal" aboveAverage="0" equalAverage="0" bottom="0" percent="0" rank="0" text="" dxfId="5">
      <formula>"In Progress"</formula>
    </cfRule>
    <cfRule type="cellIs" priority="4" operator="equal" aboveAverage="0" equalAverage="0" bottom="0" percent="0" rank="0" text="" dxfId="7">
      <formula>"Exception"</formula>
    </cfRule>
    <cfRule type="cellIs" priority="5" operator="equal" aboveAverage="0" equalAverage="0" bottom="0" percent="0" rank="0" text="" dxfId="8">
      <formula>"N/A"</formula>
    </cfRule>
    <cfRule type="cellIs" priority="6" operator="equal" aboveAverage="0" equalAverage="0" bottom="0" percent="0" rank="0" text="" dxfId="11">
      <formula>"Not Started"</formula>
    </cfRule>
  </conditionalFormatting>
  <conditionalFormatting sqref="B5">
    <cfRule type="cellIs" priority="7" operator="equal" aboveAverage="0" equalAverage="0" bottom="0" percent="0" rank="0" text="" dxfId="0">
      <formula>"Critical"</formula>
    </cfRule>
    <cfRule type="cellIs" priority="8" operator="equal" aboveAverage="0" equalAverage="0" bottom="0" percent="0" rank="0" text="" dxfId="1">
      <formula>"High"</formula>
    </cfRule>
    <cfRule type="cellIs" priority="9" operator="equal" aboveAverage="0" equalAverage="0" bottom="0" percent="0" rank="0" text="" dxfId="2">
      <formula>"Medium"</formula>
    </cfRule>
    <cfRule type="cellIs" priority="10" operator="equal" aboveAverage="0" equalAverage="0" bottom="0" percent="0" rank="0" text="" dxfId="3">
      <formula>"Low"</formula>
    </cfRule>
  </conditionalFormatting>
  <dataValidations count="2">
    <dataValidation allowBlank="false" error="Please choose a value from the list." errorStyle="stop" errorTitle="Invalid entry" operator="between" showDropDown="false" showErrorMessage="false" showInputMessage="false" sqref="G9:G42" type="list">
      <formula1>"Not Started,In Progress,Complete,Exception,N/A"</formula1>
      <formula2>0</formula2>
    </dataValidation>
    <dataValidation allowBlank="true" error="Please choose a value from the list." errorStyle="stop" errorTitle="Invalid entry" operator="between" showDropDown="false" showErrorMessage="false" showInputMessage="false" sqref="B3" type="list">
      <formula1>"V-001,V-002,V-003,V-004,V-005,V-006,"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FAADC"/>
    <pageSetUpPr fitToPage="true"/>
  </sheetPr>
  <dimension ref="A1:S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9"/>
    <col collapsed="false" customWidth="true" hidden="false" outlineLevel="0" max="3" min="3" style="0" width="26"/>
    <col collapsed="false" customWidth="true" hidden="false" outlineLevel="0" max="4" min="4" style="0" width="24"/>
    <col collapsed="false" customWidth="true" hidden="false" outlineLevel="0" max="5" min="5" style="0" width="46"/>
    <col collapsed="false" customWidth="true" hidden="false" outlineLevel="0" max="8" min="6" style="0" width="10"/>
    <col collapsed="false" customWidth="true" hidden="false" outlineLevel="0" max="9" min="9" style="0" width="11"/>
    <col collapsed="false" customWidth="true" hidden="false" outlineLevel="0" max="10" min="10" style="0" width="34"/>
    <col collapsed="false" customWidth="true" hidden="false" outlineLevel="0" max="13" min="11" style="0" width="10"/>
    <col collapsed="false" customWidth="true" hidden="false" outlineLevel="0" max="15" min="14" style="0" width="11"/>
    <col collapsed="false" customWidth="true" hidden="false" outlineLevel="0" max="16" min="16" style="0" width="44"/>
    <col collapsed="false" customWidth="true" hidden="false" outlineLevel="0" max="17" min="17" style="0" width="22"/>
    <col collapsed="false" customWidth="true" hidden="false" outlineLevel="0" max="18" min="18" style="0" width="13"/>
    <col collapsed="false" customWidth="true" hidden="false" outlineLevel="0" max="19" min="19" style="0" width="12"/>
  </cols>
  <sheetData>
    <row r="1" customFormat="false" ht="19.7" hidden="false" customHeight="false" outlineLevel="0" collapsed="false">
      <c r="A1" s="1" t="s">
        <v>636</v>
      </c>
    </row>
    <row r="2" customFormat="false" ht="15" hidden="false" customHeight="false" outlineLevel="0" collapsed="false">
      <c r="A2" s="2" t="s">
        <v>637</v>
      </c>
    </row>
    <row r="5" customFormat="false" ht="48" hidden="false" customHeight="true" outlineLevel="0" collapsed="false">
      <c r="A5" s="10" t="s">
        <v>638</v>
      </c>
      <c r="B5" s="10" t="s">
        <v>53</v>
      </c>
      <c r="C5" s="10" t="s">
        <v>54</v>
      </c>
      <c r="D5" s="10" t="s">
        <v>639</v>
      </c>
      <c r="E5" s="10" t="s">
        <v>640</v>
      </c>
      <c r="F5" s="10" t="s">
        <v>641</v>
      </c>
      <c r="G5" s="10" t="s">
        <v>642</v>
      </c>
      <c r="H5" s="10" t="s">
        <v>643</v>
      </c>
      <c r="I5" s="10" t="s">
        <v>65</v>
      </c>
      <c r="J5" s="10" t="s">
        <v>644</v>
      </c>
      <c r="K5" s="10" t="s">
        <v>645</v>
      </c>
      <c r="L5" s="10" t="s">
        <v>646</v>
      </c>
      <c r="M5" s="10" t="s">
        <v>67</v>
      </c>
      <c r="N5" s="10" t="s">
        <v>68</v>
      </c>
      <c r="O5" s="10" t="s">
        <v>166</v>
      </c>
      <c r="P5" s="10" t="s">
        <v>647</v>
      </c>
      <c r="Q5" s="10" t="s">
        <v>648</v>
      </c>
      <c r="R5" s="10" t="s">
        <v>649</v>
      </c>
      <c r="S5" s="10" t="s">
        <v>37</v>
      </c>
    </row>
    <row r="6" customFormat="false" ht="23.85" hidden="false" customHeight="false" outlineLevel="0" collapsed="false">
      <c r="A6" s="22" t="s">
        <v>650</v>
      </c>
      <c r="B6" s="22" t="s">
        <v>76</v>
      </c>
      <c r="C6" s="4" t="str">
        <f aca="false">IF(B6="","",IFERROR(INDEX(Vendor_Register!$B$6:$B$15,MATCH(B6,Vendor_Register!$A$6:$A$15,0)),"Unknown vendor ID"))</f>
        <v>Stratus Cloud Infrastructure</v>
      </c>
      <c r="D6" s="21" t="s">
        <v>651</v>
      </c>
      <c r="E6" s="21" t="s">
        <v>652</v>
      </c>
      <c r="F6" s="22" t="n">
        <v>3</v>
      </c>
      <c r="G6" s="22" t="n">
        <v>5</v>
      </c>
      <c r="H6" s="12" t="n">
        <f aca="false">IF(OR(F6="",G6=""),"",F6*G6)</f>
        <v>15</v>
      </c>
      <c r="I6" s="19" t="str">
        <f aca="false">IF(H6="","",INDEX(Methodology!$A$55:$A$58,MATCH(H6,Methodology!$B$55:$B$58,1)))</f>
        <v>High</v>
      </c>
      <c r="J6" s="21" t="s">
        <v>653</v>
      </c>
      <c r="K6" s="22" t="n">
        <v>2</v>
      </c>
      <c r="L6" s="22" t="n">
        <v>4</v>
      </c>
      <c r="M6" s="12" t="n">
        <f aca="false">IF(OR(K6="",L6=""),"",K6*L6)</f>
        <v>8</v>
      </c>
      <c r="N6" s="19" t="str">
        <f aca="false">IF(M6="","",INDEX(Methodology!$A$55:$A$58,MATCH(M6,Methodology!$B$55:$B$58,1)))</f>
        <v>Medium</v>
      </c>
      <c r="O6" s="22" t="s">
        <v>654</v>
      </c>
      <c r="P6" s="21" t="s">
        <v>655</v>
      </c>
      <c r="Q6" s="21" t="s">
        <v>80</v>
      </c>
      <c r="R6" s="24" t="n">
        <v>46477</v>
      </c>
      <c r="S6" s="22" t="s">
        <v>528</v>
      </c>
    </row>
    <row r="7" customFormat="false" ht="23.85" hidden="false" customHeight="false" outlineLevel="0" collapsed="false">
      <c r="A7" s="22" t="s">
        <v>656</v>
      </c>
      <c r="B7" s="22" t="s">
        <v>76</v>
      </c>
      <c r="C7" s="4" t="str">
        <f aca="false">IF(B7="","",IFERROR(INDEX(Vendor_Register!$B$6:$B$15,MATCH(B7,Vendor_Register!$A$6:$A$15,0)),"Unknown vendor ID"))</f>
        <v>Stratus Cloud Infrastructure</v>
      </c>
      <c r="D7" s="21" t="s">
        <v>657</v>
      </c>
      <c r="E7" s="21" t="s">
        <v>658</v>
      </c>
      <c r="F7" s="22" t="n">
        <v>3</v>
      </c>
      <c r="G7" s="22" t="n">
        <v>4</v>
      </c>
      <c r="H7" s="12" t="n">
        <f aca="false">IF(OR(F7="",G7=""),"",F7*G7)</f>
        <v>12</v>
      </c>
      <c r="I7" s="19" t="str">
        <f aca="false">IF(H7="","",INDEX(Methodology!$A$55:$A$58,MATCH(H7,Methodology!$B$55:$B$58,1)))</f>
        <v>High</v>
      </c>
      <c r="J7" s="21" t="s">
        <v>659</v>
      </c>
      <c r="K7" s="22" t="n">
        <v>3</v>
      </c>
      <c r="L7" s="22" t="n">
        <v>3</v>
      </c>
      <c r="M7" s="12" t="n">
        <f aca="false">IF(OR(K7="",L7=""),"",K7*L7)</f>
        <v>9</v>
      </c>
      <c r="N7" s="19" t="str">
        <f aca="false">IF(M7="","",INDEX(Methodology!$A$55:$A$58,MATCH(M7,Methodology!$B$55:$B$58,1)))</f>
        <v>Medium</v>
      </c>
      <c r="O7" s="22" t="s">
        <v>654</v>
      </c>
      <c r="P7" s="21" t="s">
        <v>660</v>
      </c>
      <c r="Q7" s="21" t="s">
        <v>80</v>
      </c>
      <c r="R7" s="24" t="n">
        <v>46568</v>
      </c>
      <c r="S7" s="22" t="s">
        <v>661</v>
      </c>
    </row>
    <row r="8" customFormat="false" ht="23.85" hidden="false" customHeight="false" outlineLevel="0" collapsed="false">
      <c r="A8" s="22" t="s">
        <v>662</v>
      </c>
      <c r="B8" s="22" t="s">
        <v>76</v>
      </c>
      <c r="C8" s="4" t="str">
        <f aca="false">IF(B8="","",IFERROR(INDEX(Vendor_Register!$B$6:$B$15,MATCH(B8,Vendor_Register!$A$6:$A$15,0)),"Unknown vendor ID"))</f>
        <v>Stratus Cloud Infrastructure</v>
      </c>
      <c r="D8" s="21" t="s">
        <v>663</v>
      </c>
      <c r="E8" s="21" t="s">
        <v>664</v>
      </c>
      <c r="F8" s="22" t="n">
        <v>3</v>
      </c>
      <c r="G8" s="22" t="n">
        <v>5</v>
      </c>
      <c r="H8" s="12" t="n">
        <f aca="false">IF(OR(F8="",G8=""),"",F8*G8)</f>
        <v>15</v>
      </c>
      <c r="I8" s="19" t="str">
        <f aca="false">IF(H8="","",INDEX(Methodology!$A$55:$A$58,MATCH(H8,Methodology!$B$55:$B$58,1)))</f>
        <v>High</v>
      </c>
      <c r="J8" s="21" t="s">
        <v>665</v>
      </c>
      <c r="K8" s="22" t="n">
        <v>2</v>
      </c>
      <c r="L8" s="22" t="n">
        <v>4</v>
      </c>
      <c r="M8" s="12" t="n">
        <f aca="false">IF(OR(K8="",L8=""),"",K8*L8)</f>
        <v>8</v>
      </c>
      <c r="N8" s="19" t="str">
        <f aca="false">IF(M8="","",INDEX(Methodology!$A$55:$A$58,MATCH(M8,Methodology!$B$55:$B$58,1)))</f>
        <v>Medium</v>
      </c>
      <c r="O8" s="22" t="s">
        <v>654</v>
      </c>
      <c r="P8" s="21" t="s">
        <v>666</v>
      </c>
      <c r="Q8" s="21" t="s">
        <v>667</v>
      </c>
      <c r="R8" s="24" t="n">
        <v>46371</v>
      </c>
      <c r="S8" s="22" t="s">
        <v>528</v>
      </c>
    </row>
    <row r="9" customFormat="false" ht="23.85" hidden="false" customHeight="false" outlineLevel="0" collapsed="false">
      <c r="A9" s="22" t="s">
        <v>668</v>
      </c>
      <c r="B9" s="22" t="s">
        <v>81</v>
      </c>
      <c r="C9" s="4" t="str">
        <f aca="false">IF(B9="","",IFERROR(INDEX(Vendor_Register!$B$6:$B$15,MATCH(B9,Vendor_Register!$A$6:$A$15,0)),"Unknown vendor ID"))</f>
        <v>NimbusAI Language Platform</v>
      </c>
      <c r="D9" s="21" t="s">
        <v>669</v>
      </c>
      <c r="E9" s="21" t="s">
        <v>670</v>
      </c>
      <c r="F9" s="22" t="n">
        <v>4</v>
      </c>
      <c r="G9" s="22" t="n">
        <v>5</v>
      </c>
      <c r="H9" s="12" t="n">
        <f aca="false">IF(OR(F9="",G9=""),"",F9*G9)</f>
        <v>20</v>
      </c>
      <c r="I9" s="19" t="str">
        <f aca="false">IF(H9="","",INDEX(Methodology!$A$55:$A$58,MATCH(H9,Methodology!$B$55:$B$58,1)))</f>
        <v>Critical</v>
      </c>
      <c r="J9" s="21" t="s">
        <v>671</v>
      </c>
      <c r="K9" s="22" t="n">
        <v>2</v>
      </c>
      <c r="L9" s="22" t="n">
        <v>5</v>
      </c>
      <c r="M9" s="12" t="n">
        <f aca="false">IF(OR(K9="",L9=""),"",K9*L9)</f>
        <v>10</v>
      </c>
      <c r="N9" s="19" t="str">
        <f aca="false">IF(M9="","",INDEX(Methodology!$A$55:$A$58,MATCH(M9,Methodology!$B$55:$B$58,1)))</f>
        <v>High</v>
      </c>
      <c r="O9" s="22" t="s">
        <v>654</v>
      </c>
      <c r="P9" s="21" t="s">
        <v>672</v>
      </c>
      <c r="Q9" s="21" t="s">
        <v>550</v>
      </c>
      <c r="R9" s="24" t="n">
        <v>46357</v>
      </c>
      <c r="S9" s="22" t="s">
        <v>528</v>
      </c>
    </row>
    <row r="10" customFormat="false" ht="23.85" hidden="false" customHeight="false" outlineLevel="0" collapsed="false">
      <c r="A10" s="22" t="s">
        <v>673</v>
      </c>
      <c r="B10" s="22" t="s">
        <v>81</v>
      </c>
      <c r="C10" s="4" t="str">
        <f aca="false">IF(B10="","",IFERROR(INDEX(Vendor_Register!$B$6:$B$15,MATCH(B10,Vendor_Register!$A$6:$A$15,0)),"Unknown vendor ID"))</f>
        <v>NimbusAI Language Platform</v>
      </c>
      <c r="D10" s="21" t="s">
        <v>669</v>
      </c>
      <c r="E10" s="21" t="s">
        <v>674</v>
      </c>
      <c r="F10" s="22" t="n">
        <v>4</v>
      </c>
      <c r="G10" s="22" t="n">
        <v>3</v>
      </c>
      <c r="H10" s="12" t="n">
        <f aca="false">IF(OR(F10="",G10=""),"",F10*G10)</f>
        <v>12</v>
      </c>
      <c r="I10" s="19" t="str">
        <f aca="false">IF(H10="","",INDEX(Methodology!$A$55:$A$58,MATCH(H10,Methodology!$B$55:$B$58,1)))</f>
        <v>High</v>
      </c>
      <c r="J10" s="21" t="s">
        <v>675</v>
      </c>
      <c r="K10" s="22" t="n">
        <v>3</v>
      </c>
      <c r="L10" s="22" t="n">
        <v>3</v>
      </c>
      <c r="M10" s="12" t="n">
        <f aca="false">IF(OR(K10="",L10=""),"",K10*L10)</f>
        <v>9</v>
      </c>
      <c r="N10" s="19" t="str">
        <f aca="false">IF(M10="","",INDEX(Methodology!$A$55:$A$58,MATCH(M10,Methodology!$B$55:$B$58,1)))</f>
        <v>Medium</v>
      </c>
      <c r="O10" s="22" t="s">
        <v>654</v>
      </c>
      <c r="P10" s="21" t="s">
        <v>676</v>
      </c>
      <c r="Q10" s="21" t="s">
        <v>85</v>
      </c>
      <c r="R10" s="24" t="n">
        <v>46418</v>
      </c>
      <c r="S10" s="22" t="s">
        <v>661</v>
      </c>
    </row>
    <row r="11" customFormat="false" ht="23.85" hidden="false" customHeight="false" outlineLevel="0" collapsed="false">
      <c r="A11" s="22" t="s">
        <v>677</v>
      </c>
      <c r="B11" s="22" t="s">
        <v>81</v>
      </c>
      <c r="C11" s="4" t="str">
        <f aca="false">IF(B11="","",IFERROR(INDEX(Vendor_Register!$B$6:$B$15,MATCH(B11,Vendor_Register!$A$6:$A$15,0)),"Unknown vendor ID"))</f>
        <v>NimbusAI Language Platform</v>
      </c>
      <c r="D11" s="21" t="s">
        <v>663</v>
      </c>
      <c r="E11" s="21" t="s">
        <v>678</v>
      </c>
      <c r="F11" s="22" t="n">
        <v>3</v>
      </c>
      <c r="G11" s="22" t="n">
        <v>4</v>
      </c>
      <c r="H11" s="12" t="n">
        <f aca="false">IF(OR(F11="",G11=""),"",F11*G11)</f>
        <v>12</v>
      </c>
      <c r="I11" s="19" t="str">
        <f aca="false">IF(H11="","",INDEX(Methodology!$A$55:$A$58,MATCH(H11,Methodology!$B$55:$B$58,1)))</f>
        <v>High</v>
      </c>
      <c r="J11" s="21" t="s">
        <v>679</v>
      </c>
      <c r="K11" s="22" t="n">
        <v>2</v>
      </c>
      <c r="L11" s="22" t="n">
        <v>4</v>
      </c>
      <c r="M11" s="12" t="n">
        <f aca="false">IF(OR(K11="",L11=""),"",K11*L11)</f>
        <v>8</v>
      </c>
      <c r="N11" s="19" t="str">
        <f aca="false">IF(M11="","",INDEX(Methodology!$A$55:$A$58,MATCH(M11,Methodology!$B$55:$B$58,1)))</f>
        <v>Medium</v>
      </c>
      <c r="O11" s="22" t="s">
        <v>654</v>
      </c>
      <c r="P11" s="21" t="s">
        <v>680</v>
      </c>
      <c r="Q11" s="21" t="s">
        <v>522</v>
      </c>
      <c r="R11" s="24" t="n">
        <v>46402</v>
      </c>
      <c r="S11" s="22" t="s">
        <v>661</v>
      </c>
    </row>
    <row r="12" customFormat="false" ht="23.85" hidden="false" customHeight="false" outlineLevel="0" collapsed="false">
      <c r="A12" s="22" t="s">
        <v>681</v>
      </c>
      <c r="B12" s="22" t="s">
        <v>87</v>
      </c>
      <c r="C12" s="4" t="str">
        <f aca="false">IF(B12="","",IFERROR(INDEX(Vendor_Register!$B$6:$B$15,MATCH(B12,Vendor_Register!$A$6:$A$15,0)),"Unknown vendor ID"))</f>
        <v>Orbit CRM Suite</v>
      </c>
      <c r="D12" s="21" t="s">
        <v>663</v>
      </c>
      <c r="E12" s="21" t="s">
        <v>682</v>
      </c>
      <c r="F12" s="22" t="n">
        <v>3</v>
      </c>
      <c r="G12" s="22" t="n">
        <v>4</v>
      </c>
      <c r="H12" s="12" t="n">
        <f aca="false">IF(OR(F12="",G12=""),"",F12*G12)</f>
        <v>12</v>
      </c>
      <c r="I12" s="19" t="str">
        <f aca="false">IF(H12="","",INDEX(Methodology!$A$55:$A$58,MATCH(H12,Methodology!$B$55:$B$58,1)))</f>
        <v>High</v>
      </c>
      <c r="J12" s="21" t="s">
        <v>683</v>
      </c>
      <c r="K12" s="22" t="n">
        <v>3</v>
      </c>
      <c r="L12" s="22" t="n">
        <v>3</v>
      </c>
      <c r="M12" s="12" t="n">
        <f aca="false">IF(OR(K12="",L12=""),"",K12*L12)</f>
        <v>9</v>
      </c>
      <c r="N12" s="19" t="str">
        <f aca="false">IF(M12="","",INDEX(Methodology!$A$55:$A$58,MATCH(M12,Methodology!$B$55:$B$58,1)))</f>
        <v>Medium</v>
      </c>
      <c r="O12" s="22" t="s">
        <v>654</v>
      </c>
      <c r="P12" s="21" t="s">
        <v>684</v>
      </c>
      <c r="Q12" s="21" t="s">
        <v>91</v>
      </c>
      <c r="R12" s="24" t="n">
        <v>46477</v>
      </c>
      <c r="S12" s="22" t="s">
        <v>528</v>
      </c>
    </row>
    <row r="13" customFormat="false" ht="23.85" hidden="false" customHeight="false" outlineLevel="0" collapsed="false">
      <c r="A13" s="22" t="s">
        <v>685</v>
      </c>
      <c r="B13" s="22" t="s">
        <v>87</v>
      </c>
      <c r="C13" s="4" t="str">
        <f aca="false">IF(B13="","",IFERROR(INDEX(Vendor_Register!$B$6:$B$15,MATCH(B13,Vendor_Register!$A$6:$A$15,0)),"Unknown vendor ID"))</f>
        <v>Orbit CRM Suite</v>
      </c>
      <c r="D13" s="21" t="s">
        <v>651</v>
      </c>
      <c r="E13" s="21" t="s">
        <v>686</v>
      </c>
      <c r="F13" s="22" t="n">
        <v>2</v>
      </c>
      <c r="G13" s="22" t="n">
        <v>4</v>
      </c>
      <c r="H13" s="12" t="n">
        <f aca="false">IF(OR(F13="",G13=""),"",F13*G13)</f>
        <v>8</v>
      </c>
      <c r="I13" s="19" t="str">
        <f aca="false">IF(H13="","",INDEX(Methodology!$A$55:$A$58,MATCH(H13,Methodology!$B$55:$B$58,1)))</f>
        <v>Medium</v>
      </c>
      <c r="J13" s="21" t="s">
        <v>687</v>
      </c>
      <c r="K13" s="22" t="n">
        <v>2</v>
      </c>
      <c r="L13" s="22" t="n">
        <v>3</v>
      </c>
      <c r="M13" s="12" t="n">
        <f aca="false">IF(OR(K13="",L13=""),"",K13*L13)</f>
        <v>6</v>
      </c>
      <c r="N13" s="19" t="str">
        <f aca="false">IF(M13="","",INDEX(Methodology!$A$55:$A$58,MATCH(M13,Methodology!$B$55:$B$58,1)))</f>
        <v>Medium</v>
      </c>
      <c r="O13" s="22" t="s">
        <v>654</v>
      </c>
      <c r="P13" s="21" t="s">
        <v>688</v>
      </c>
      <c r="Q13" s="21" t="s">
        <v>91</v>
      </c>
      <c r="R13" s="24" t="n">
        <v>46630</v>
      </c>
      <c r="S13" s="22" t="s">
        <v>661</v>
      </c>
    </row>
    <row r="14" customFormat="false" ht="23.85" hidden="false" customHeight="false" outlineLevel="0" collapsed="false">
      <c r="A14" s="22" t="s">
        <v>689</v>
      </c>
      <c r="B14" s="22" t="s">
        <v>93</v>
      </c>
      <c r="C14" s="4" t="str">
        <f aca="false">IF(B14="","",IFERROR(INDEX(Vendor_Register!$B$6:$B$15,MATCH(B14,Vendor_Register!$A$6:$A$15,0)),"Unknown vendor ID"))</f>
        <v>InsightML Analytics</v>
      </c>
      <c r="D14" s="21" t="s">
        <v>669</v>
      </c>
      <c r="E14" s="21" t="s">
        <v>690</v>
      </c>
      <c r="F14" s="22" t="n">
        <v>3</v>
      </c>
      <c r="G14" s="22" t="n">
        <v>3</v>
      </c>
      <c r="H14" s="12" t="n">
        <f aca="false">IF(OR(F14="",G14=""),"",F14*G14)</f>
        <v>9</v>
      </c>
      <c r="I14" s="19" t="str">
        <f aca="false">IF(H14="","",INDEX(Methodology!$A$55:$A$58,MATCH(H14,Methodology!$B$55:$B$58,1)))</f>
        <v>Medium</v>
      </c>
      <c r="J14" s="21" t="s">
        <v>691</v>
      </c>
      <c r="K14" s="22" t="n">
        <v>2</v>
      </c>
      <c r="L14" s="22" t="n">
        <v>3</v>
      </c>
      <c r="M14" s="12" t="n">
        <f aca="false">IF(OR(K14="",L14=""),"",K14*L14)</f>
        <v>6</v>
      </c>
      <c r="N14" s="19" t="str">
        <f aca="false">IF(M14="","",INDEX(Methodology!$A$55:$A$58,MATCH(M14,Methodology!$B$55:$B$58,1)))</f>
        <v>Medium</v>
      </c>
      <c r="O14" s="22" t="s">
        <v>654</v>
      </c>
      <c r="P14" s="21" t="s">
        <v>692</v>
      </c>
      <c r="Q14" s="21" t="s">
        <v>96</v>
      </c>
      <c r="R14" s="24" t="n">
        <v>46477</v>
      </c>
      <c r="S14" s="22" t="s">
        <v>661</v>
      </c>
    </row>
    <row r="15" customFormat="false" ht="23.85" hidden="false" customHeight="false" outlineLevel="0" collapsed="false">
      <c r="A15" s="22" t="s">
        <v>693</v>
      </c>
      <c r="B15" s="22" t="s">
        <v>93</v>
      </c>
      <c r="C15" s="4" t="str">
        <f aca="false">IF(B15="","",IFERROR(INDEX(Vendor_Register!$B$6:$B$15,MATCH(B15,Vendor_Register!$A$6:$A$15,0)),"Unknown vendor ID"))</f>
        <v>InsightML Analytics</v>
      </c>
      <c r="D15" s="21" t="s">
        <v>694</v>
      </c>
      <c r="E15" s="21" t="s">
        <v>695</v>
      </c>
      <c r="F15" s="22" t="n">
        <v>3</v>
      </c>
      <c r="G15" s="22" t="n">
        <v>3</v>
      </c>
      <c r="H15" s="12" t="n">
        <f aca="false">IF(OR(F15="",G15=""),"",F15*G15)</f>
        <v>9</v>
      </c>
      <c r="I15" s="19" t="str">
        <f aca="false">IF(H15="","",INDEX(Methodology!$A$55:$A$58,MATCH(H15,Methodology!$B$55:$B$58,1)))</f>
        <v>Medium</v>
      </c>
      <c r="J15" s="21" t="s">
        <v>696</v>
      </c>
      <c r="K15" s="22" t="n">
        <v>2</v>
      </c>
      <c r="L15" s="22" t="n">
        <v>3</v>
      </c>
      <c r="M15" s="12" t="n">
        <f aca="false">IF(OR(K15="",L15=""),"",K15*L15)</f>
        <v>6</v>
      </c>
      <c r="N15" s="19" t="str">
        <f aca="false">IF(M15="","",INDEX(Methodology!$A$55:$A$58,MATCH(M15,Methodology!$B$55:$B$58,1)))</f>
        <v>Medium</v>
      </c>
      <c r="O15" s="22" t="s">
        <v>654</v>
      </c>
      <c r="P15" s="21" t="s">
        <v>697</v>
      </c>
      <c r="Q15" s="21" t="s">
        <v>616</v>
      </c>
      <c r="R15" s="24" t="n">
        <v>46507</v>
      </c>
      <c r="S15" s="22" t="s">
        <v>661</v>
      </c>
    </row>
    <row r="16" customFormat="false" ht="23.85" hidden="false" customHeight="false" outlineLevel="0" collapsed="false">
      <c r="A16" s="22" t="s">
        <v>698</v>
      </c>
      <c r="B16" s="22" t="s">
        <v>98</v>
      </c>
      <c r="C16" s="4" t="str">
        <f aca="false">IF(B16="","",IFERROR(INDEX(Vendor_Register!$B$6:$B$15,MATCH(B16,Vendor_Register!$A$6:$A$15,0)),"Unknown vendor ID"))</f>
        <v>Cirrus Backup &amp; Recovery</v>
      </c>
      <c r="D16" s="21" t="s">
        <v>699</v>
      </c>
      <c r="E16" s="21" t="s">
        <v>700</v>
      </c>
      <c r="F16" s="22" t="n">
        <v>2</v>
      </c>
      <c r="G16" s="22" t="n">
        <v>4</v>
      </c>
      <c r="H16" s="12" t="n">
        <f aca="false">IF(OR(F16="",G16=""),"",F16*G16)</f>
        <v>8</v>
      </c>
      <c r="I16" s="19" t="str">
        <f aca="false">IF(H16="","",INDEX(Methodology!$A$55:$A$58,MATCH(H16,Methodology!$B$55:$B$58,1)))</f>
        <v>Medium</v>
      </c>
      <c r="J16" s="21" t="s">
        <v>701</v>
      </c>
      <c r="K16" s="22" t="n">
        <v>1</v>
      </c>
      <c r="L16" s="22" t="n">
        <v>4</v>
      </c>
      <c r="M16" s="12" t="n">
        <f aca="false">IF(OR(K16="",L16=""),"",K16*L16)</f>
        <v>4</v>
      </c>
      <c r="N16" s="19" t="str">
        <f aca="false">IF(M16="","",INDEX(Methodology!$A$55:$A$58,MATCH(M16,Methodology!$B$55:$B$58,1)))</f>
        <v>Low</v>
      </c>
      <c r="O16" s="22" t="s">
        <v>702</v>
      </c>
      <c r="P16" s="21" t="s">
        <v>703</v>
      </c>
      <c r="Q16" s="21" t="s">
        <v>101</v>
      </c>
      <c r="R16" s="24" t="n">
        <v>46538</v>
      </c>
      <c r="S16" s="22" t="s">
        <v>704</v>
      </c>
    </row>
    <row r="17" customFormat="false" ht="23.85" hidden="false" customHeight="false" outlineLevel="0" collapsed="false">
      <c r="A17" s="22" t="s">
        <v>705</v>
      </c>
      <c r="B17" s="22" t="s">
        <v>102</v>
      </c>
      <c r="C17" s="4" t="str">
        <f aca="false">IF(B17="","",IFERROR(INDEX(Vendor_Register!$B$6:$B$15,MATCH(B17,Vendor_Register!$A$6:$A$15,0)),"Unknown vendor ID"))</f>
        <v>Brightleaf Survey Tool</v>
      </c>
      <c r="D17" s="21" t="s">
        <v>706</v>
      </c>
      <c r="E17" s="21" t="s">
        <v>707</v>
      </c>
      <c r="F17" s="22" t="n">
        <v>2</v>
      </c>
      <c r="G17" s="22" t="n">
        <v>3</v>
      </c>
      <c r="H17" s="12" t="n">
        <f aca="false">IF(OR(F17="",G17=""),"",F17*G17)</f>
        <v>6</v>
      </c>
      <c r="I17" s="19" t="str">
        <f aca="false">IF(H17="","",INDEX(Methodology!$A$55:$A$58,MATCH(H17,Methodology!$B$55:$B$58,1)))</f>
        <v>Medium</v>
      </c>
      <c r="J17" s="21" t="s">
        <v>708</v>
      </c>
      <c r="K17" s="22" t="n">
        <v>2</v>
      </c>
      <c r="L17" s="22" t="n">
        <v>2</v>
      </c>
      <c r="M17" s="12" t="n">
        <f aca="false">IF(OR(K17="",L17=""),"",K17*L17)</f>
        <v>4</v>
      </c>
      <c r="N17" s="19" t="str">
        <f aca="false">IF(M17="","",INDEX(Methodology!$A$55:$A$58,MATCH(M17,Methodology!$B$55:$B$58,1)))</f>
        <v>Low</v>
      </c>
      <c r="O17" s="22" t="s">
        <v>702</v>
      </c>
      <c r="P17" s="21" t="s">
        <v>709</v>
      </c>
      <c r="Q17" s="21" t="s">
        <v>105</v>
      </c>
      <c r="R17" s="24" t="n">
        <v>46387</v>
      </c>
      <c r="S17" s="22" t="s">
        <v>704</v>
      </c>
    </row>
    <row r="18" customFormat="false" ht="15" hidden="false" customHeight="false" outlineLevel="0" collapsed="false">
      <c r="A18" s="22"/>
      <c r="B18" s="22"/>
      <c r="C18" s="4" t="str">
        <f aca="false">IF(B18="","",IFERROR(INDEX(Vendor_Register!$B$6:$B$15,MATCH(B18,Vendor_Register!$A$6:$A$15,0)),"Unknown vendor ID"))</f>
        <v/>
      </c>
      <c r="D18" s="21"/>
      <c r="E18" s="21"/>
      <c r="F18" s="22"/>
      <c r="G18" s="22"/>
      <c r="H18" s="12" t="str">
        <f aca="false">IF(OR(F18="",G18=""),"",F18*G18)</f>
        <v/>
      </c>
      <c r="I18" s="19" t="str">
        <f aca="false">IF(H18="","",INDEX(Methodology!$A$55:$A$58,MATCH(H18,Methodology!$B$55:$B$58,1)))</f>
        <v/>
      </c>
      <c r="J18" s="21"/>
      <c r="K18" s="22"/>
      <c r="L18" s="22"/>
      <c r="M18" s="12" t="str">
        <f aca="false">IF(OR(K18="",L18=""),"",K18*L18)</f>
        <v/>
      </c>
      <c r="N18" s="19" t="str">
        <f aca="false">IF(M18="","",INDEX(Methodology!$A$55:$A$58,MATCH(M18,Methodology!$B$55:$B$58,1)))</f>
        <v/>
      </c>
      <c r="O18" s="22"/>
      <c r="P18" s="21"/>
      <c r="Q18" s="21"/>
      <c r="R18" s="24"/>
      <c r="S18" s="22"/>
    </row>
    <row r="19" customFormat="false" ht="15" hidden="false" customHeight="false" outlineLevel="0" collapsed="false">
      <c r="A19" s="22"/>
      <c r="B19" s="22"/>
      <c r="C19" s="4" t="str">
        <f aca="false">IF(B19="","",IFERROR(INDEX(Vendor_Register!$B$6:$B$15,MATCH(B19,Vendor_Register!$A$6:$A$15,0)),"Unknown vendor ID"))</f>
        <v/>
      </c>
      <c r="D19" s="21"/>
      <c r="E19" s="21"/>
      <c r="F19" s="22"/>
      <c r="G19" s="22"/>
      <c r="H19" s="12" t="str">
        <f aca="false">IF(OR(F19="",G19=""),"",F19*G19)</f>
        <v/>
      </c>
      <c r="I19" s="19" t="str">
        <f aca="false">IF(H19="","",INDEX(Methodology!$A$55:$A$58,MATCH(H19,Methodology!$B$55:$B$58,1)))</f>
        <v/>
      </c>
      <c r="J19" s="21"/>
      <c r="K19" s="22"/>
      <c r="L19" s="22"/>
      <c r="M19" s="12" t="str">
        <f aca="false">IF(OR(K19="",L19=""),"",K19*L19)</f>
        <v/>
      </c>
      <c r="N19" s="19" t="str">
        <f aca="false">IF(M19="","",INDEX(Methodology!$A$55:$A$58,MATCH(M19,Methodology!$B$55:$B$58,1)))</f>
        <v/>
      </c>
      <c r="O19" s="22"/>
      <c r="P19" s="21"/>
      <c r="Q19" s="21"/>
      <c r="R19" s="24"/>
      <c r="S19" s="22"/>
    </row>
    <row r="20" customFormat="false" ht="15" hidden="false" customHeight="false" outlineLevel="0" collapsed="false">
      <c r="A20" s="22"/>
      <c r="B20" s="22"/>
      <c r="C20" s="4" t="str">
        <f aca="false">IF(B20="","",IFERROR(INDEX(Vendor_Register!$B$6:$B$15,MATCH(B20,Vendor_Register!$A$6:$A$15,0)),"Unknown vendor ID"))</f>
        <v/>
      </c>
      <c r="D20" s="21"/>
      <c r="E20" s="21"/>
      <c r="F20" s="22"/>
      <c r="G20" s="22"/>
      <c r="H20" s="12" t="str">
        <f aca="false">IF(OR(F20="",G20=""),"",F20*G20)</f>
        <v/>
      </c>
      <c r="I20" s="19" t="str">
        <f aca="false">IF(H20="","",INDEX(Methodology!$A$55:$A$58,MATCH(H20,Methodology!$B$55:$B$58,1)))</f>
        <v/>
      </c>
      <c r="J20" s="21"/>
      <c r="K20" s="22"/>
      <c r="L20" s="22"/>
      <c r="M20" s="12" t="str">
        <f aca="false">IF(OR(K20="",L20=""),"",K20*L20)</f>
        <v/>
      </c>
      <c r="N20" s="19" t="str">
        <f aca="false">IF(M20="","",INDEX(Methodology!$A$55:$A$58,MATCH(M20,Methodology!$B$55:$B$58,1)))</f>
        <v/>
      </c>
      <c r="O20" s="22"/>
      <c r="P20" s="21"/>
      <c r="Q20" s="21"/>
      <c r="R20" s="24"/>
      <c r="S20" s="22"/>
    </row>
    <row r="21" customFormat="false" ht="15" hidden="false" customHeight="false" outlineLevel="0" collapsed="false">
      <c r="A21" s="22"/>
      <c r="B21" s="22"/>
      <c r="C21" s="4" t="str">
        <f aca="false">IF(B21="","",IFERROR(INDEX(Vendor_Register!$B$6:$B$15,MATCH(B21,Vendor_Register!$A$6:$A$15,0)),"Unknown vendor ID"))</f>
        <v/>
      </c>
      <c r="D21" s="21"/>
      <c r="E21" s="21"/>
      <c r="F21" s="22"/>
      <c r="G21" s="22"/>
      <c r="H21" s="12" t="str">
        <f aca="false">IF(OR(F21="",G21=""),"",F21*G21)</f>
        <v/>
      </c>
      <c r="I21" s="19" t="str">
        <f aca="false">IF(H21="","",INDEX(Methodology!$A$55:$A$58,MATCH(H21,Methodology!$B$55:$B$58,1)))</f>
        <v/>
      </c>
      <c r="J21" s="21"/>
      <c r="K21" s="22"/>
      <c r="L21" s="22"/>
      <c r="M21" s="12" t="str">
        <f aca="false">IF(OR(K21="",L21=""),"",K21*L21)</f>
        <v/>
      </c>
      <c r="N21" s="19" t="str">
        <f aca="false">IF(M21="","",INDEX(Methodology!$A$55:$A$58,MATCH(M21,Methodology!$B$55:$B$58,1)))</f>
        <v/>
      </c>
      <c r="O21" s="22"/>
      <c r="P21" s="21"/>
      <c r="Q21" s="21"/>
      <c r="R21" s="24"/>
      <c r="S21" s="22"/>
    </row>
    <row r="22" customFormat="false" ht="15" hidden="false" customHeight="false" outlineLevel="0" collapsed="false">
      <c r="A22" s="22"/>
      <c r="B22" s="22"/>
      <c r="C22" s="4" t="str">
        <f aca="false">IF(B22="","",IFERROR(INDEX(Vendor_Register!$B$6:$B$15,MATCH(B22,Vendor_Register!$A$6:$A$15,0)),"Unknown vendor ID"))</f>
        <v/>
      </c>
      <c r="D22" s="21"/>
      <c r="E22" s="21"/>
      <c r="F22" s="22"/>
      <c r="G22" s="22"/>
      <c r="H22" s="12" t="str">
        <f aca="false">IF(OR(F22="",G22=""),"",F22*G22)</f>
        <v/>
      </c>
      <c r="I22" s="19" t="str">
        <f aca="false">IF(H22="","",INDEX(Methodology!$A$55:$A$58,MATCH(H22,Methodology!$B$55:$B$58,1)))</f>
        <v/>
      </c>
      <c r="J22" s="21"/>
      <c r="K22" s="22"/>
      <c r="L22" s="22"/>
      <c r="M22" s="12" t="str">
        <f aca="false">IF(OR(K22="",L22=""),"",K22*L22)</f>
        <v/>
      </c>
      <c r="N22" s="19" t="str">
        <f aca="false">IF(M22="","",INDEX(Methodology!$A$55:$A$58,MATCH(M22,Methodology!$B$55:$B$58,1)))</f>
        <v/>
      </c>
      <c r="O22" s="22"/>
      <c r="P22" s="21"/>
      <c r="Q22" s="21"/>
      <c r="R22" s="24"/>
      <c r="S22" s="22"/>
    </row>
    <row r="23" customFormat="false" ht="15" hidden="false" customHeight="false" outlineLevel="0" collapsed="false">
      <c r="A23" s="22"/>
      <c r="B23" s="22"/>
      <c r="C23" s="4" t="str">
        <f aca="false">IF(B23="","",IFERROR(INDEX(Vendor_Register!$B$6:$B$15,MATCH(B23,Vendor_Register!$A$6:$A$15,0)),"Unknown vendor ID"))</f>
        <v/>
      </c>
      <c r="D23" s="21"/>
      <c r="E23" s="21"/>
      <c r="F23" s="22"/>
      <c r="G23" s="22"/>
      <c r="H23" s="12" t="str">
        <f aca="false">IF(OR(F23="",G23=""),"",F23*G23)</f>
        <v/>
      </c>
      <c r="I23" s="19" t="str">
        <f aca="false">IF(H23="","",INDEX(Methodology!$A$55:$A$58,MATCH(H23,Methodology!$B$55:$B$58,1)))</f>
        <v/>
      </c>
      <c r="J23" s="21"/>
      <c r="K23" s="22"/>
      <c r="L23" s="22"/>
      <c r="M23" s="12" t="str">
        <f aca="false">IF(OR(K23="",L23=""),"",K23*L23)</f>
        <v/>
      </c>
      <c r="N23" s="19" t="str">
        <f aca="false">IF(M23="","",INDEX(Methodology!$A$55:$A$58,MATCH(M23,Methodology!$B$55:$B$58,1)))</f>
        <v/>
      </c>
      <c r="O23" s="22"/>
      <c r="P23" s="21"/>
      <c r="Q23" s="21"/>
      <c r="R23" s="24"/>
      <c r="S23" s="22"/>
    </row>
    <row r="24" customFormat="false" ht="15" hidden="false" customHeight="false" outlineLevel="0" collapsed="false">
      <c r="A24" s="22"/>
      <c r="B24" s="22"/>
      <c r="C24" s="4" t="str">
        <f aca="false">IF(B24="","",IFERROR(INDEX(Vendor_Register!$B$6:$B$15,MATCH(B24,Vendor_Register!$A$6:$A$15,0)),"Unknown vendor ID"))</f>
        <v/>
      </c>
      <c r="D24" s="21"/>
      <c r="E24" s="21"/>
      <c r="F24" s="22"/>
      <c r="G24" s="22"/>
      <c r="H24" s="12" t="str">
        <f aca="false">IF(OR(F24="",G24=""),"",F24*G24)</f>
        <v/>
      </c>
      <c r="I24" s="19" t="str">
        <f aca="false">IF(H24="","",INDEX(Methodology!$A$55:$A$58,MATCH(H24,Methodology!$B$55:$B$58,1)))</f>
        <v/>
      </c>
      <c r="J24" s="21"/>
      <c r="K24" s="22"/>
      <c r="L24" s="22"/>
      <c r="M24" s="12" t="str">
        <f aca="false">IF(OR(K24="",L24=""),"",K24*L24)</f>
        <v/>
      </c>
      <c r="N24" s="19" t="str">
        <f aca="false">IF(M24="","",INDEX(Methodology!$A$55:$A$58,MATCH(M24,Methodology!$B$55:$B$58,1)))</f>
        <v/>
      </c>
      <c r="O24" s="22"/>
      <c r="P24" s="21"/>
      <c r="Q24" s="21"/>
      <c r="R24" s="24"/>
      <c r="S24" s="22"/>
    </row>
    <row r="25" customFormat="false" ht="15" hidden="false" customHeight="false" outlineLevel="0" collapsed="false">
      <c r="A25" s="22"/>
      <c r="B25" s="22"/>
      <c r="C25" s="4" t="str">
        <f aca="false">IF(B25="","",IFERROR(INDEX(Vendor_Register!$B$6:$B$15,MATCH(B25,Vendor_Register!$A$6:$A$15,0)),"Unknown vendor ID"))</f>
        <v/>
      </c>
      <c r="D25" s="21"/>
      <c r="E25" s="21"/>
      <c r="F25" s="22"/>
      <c r="G25" s="22"/>
      <c r="H25" s="12" t="str">
        <f aca="false">IF(OR(F25="",G25=""),"",F25*G25)</f>
        <v/>
      </c>
      <c r="I25" s="19" t="str">
        <f aca="false">IF(H25="","",INDEX(Methodology!$A$55:$A$58,MATCH(H25,Methodology!$B$55:$B$58,1)))</f>
        <v/>
      </c>
      <c r="J25" s="21"/>
      <c r="K25" s="22"/>
      <c r="L25" s="22"/>
      <c r="M25" s="12" t="str">
        <f aca="false">IF(OR(K25="",L25=""),"",K25*L25)</f>
        <v/>
      </c>
      <c r="N25" s="19" t="str">
        <f aca="false">IF(M25="","",INDEX(Methodology!$A$55:$A$58,MATCH(M25,Methodology!$B$55:$B$58,1)))</f>
        <v/>
      </c>
      <c r="O25" s="22"/>
      <c r="P25" s="21"/>
      <c r="Q25" s="21"/>
      <c r="R25" s="24"/>
      <c r="S25" s="22"/>
    </row>
    <row r="26" customFormat="false" ht="15" hidden="false" customHeight="false" outlineLevel="0" collapsed="false">
      <c r="A26" s="22"/>
      <c r="B26" s="22"/>
      <c r="C26" s="4" t="str">
        <f aca="false">IF(B26="","",IFERROR(INDEX(Vendor_Register!$B$6:$B$15,MATCH(B26,Vendor_Register!$A$6:$A$15,0)),"Unknown vendor ID"))</f>
        <v/>
      </c>
      <c r="D26" s="21"/>
      <c r="E26" s="21"/>
      <c r="F26" s="22"/>
      <c r="G26" s="22"/>
      <c r="H26" s="12" t="str">
        <f aca="false">IF(OR(F26="",G26=""),"",F26*G26)</f>
        <v/>
      </c>
      <c r="I26" s="19" t="str">
        <f aca="false">IF(H26="","",INDEX(Methodology!$A$55:$A$58,MATCH(H26,Methodology!$B$55:$B$58,1)))</f>
        <v/>
      </c>
      <c r="J26" s="21"/>
      <c r="K26" s="22"/>
      <c r="L26" s="22"/>
      <c r="M26" s="12" t="str">
        <f aca="false">IF(OR(K26="",L26=""),"",K26*L26)</f>
        <v/>
      </c>
      <c r="N26" s="19" t="str">
        <f aca="false">IF(M26="","",INDEX(Methodology!$A$55:$A$58,MATCH(M26,Methodology!$B$55:$B$58,1)))</f>
        <v/>
      </c>
      <c r="O26" s="22"/>
      <c r="P26" s="21"/>
      <c r="Q26" s="21"/>
      <c r="R26" s="24"/>
      <c r="S26" s="22"/>
    </row>
    <row r="27" customFormat="false" ht="15" hidden="false" customHeight="false" outlineLevel="0" collapsed="false">
      <c r="A27" s="22"/>
      <c r="B27" s="22"/>
      <c r="C27" s="4" t="str">
        <f aca="false">IF(B27="","",IFERROR(INDEX(Vendor_Register!$B$6:$B$15,MATCH(B27,Vendor_Register!$A$6:$A$15,0)),"Unknown vendor ID"))</f>
        <v/>
      </c>
      <c r="D27" s="21"/>
      <c r="E27" s="21"/>
      <c r="F27" s="22"/>
      <c r="G27" s="22"/>
      <c r="H27" s="12" t="str">
        <f aca="false">IF(OR(F27="",G27=""),"",F27*G27)</f>
        <v/>
      </c>
      <c r="I27" s="19" t="str">
        <f aca="false">IF(H27="","",INDEX(Methodology!$A$55:$A$58,MATCH(H27,Methodology!$B$55:$B$58,1)))</f>
        <v/>
      </c>
      <c r="J27" s="21"/>
      <c r="K27" s="22"/>
      <c r="L27" s="22"/>
      <c r="M27" s="12" t="str">
        <f aca="false">IF(OR(K27="",L27=""),"",K27*L27)</f>
        <v/>
      </c>
      <c r="N27" s="19" t="str">
        <f aca="false">IF(M27="","",INDEX(Methodology!$A$55:$A$58,MATCH(M27,Methodology!$B$55:$B$58,1)))</f>
        <v/>
      </c>
      <c r="O27" s="22"/>
      <c r="P27" s="21"/>
      <c r="Q27" s="21"/>
      <c r="R27" s="24"/>
      <c r="S27" s="22"/>
    </row>
    <row r="28" customFormat="false" ht="15" hidden="false" customHeight="false" outlineLevel="0" collapsed="false">
      <c r="A28" s="22"/>
      <c r="B28" s="22"/>
      <c r="C28" s="4" t="str">
        <f aca="false">IF(B28="","",IFERROR(INDEX(Vendor_Register!$B$6:$B$15,MATCH(B28,Vendor_Register!$A$6:$A$15,0)),"Unknown vendor ID"))</f>
        <v/>
      </c>
      <c r="D28" s="21"/>
      <c r="E28" s="21"/>
      <c r="F28" s="22"/>
      <c r="G28" s="22"/>
      <c r="H28" s="12" t="str">
        <f aca="false">IF(OR(F28="",G28=""),"",F28*G28)</f>
        <v/>
      </c>
      <c r="I28" s="19" t="str">
        <f aca="false">IF(H28="","",INDEX(Methodology!$A$55:$A$58,MATCH(H28,Methodology!$B$55:$B$58,1)))</f>
        <v/>
      </c>
      <c r="J28" s="21"/>
      <c r="K28" s="22"/>
      <c r="L28" s="22"/>
      <c r="M28" s="12" t="str">
        <f aca="false">IF(OR(K28="",L28=""),"",K28*L28)</f>
        <v/>
      </c>
      <c r="N28" s="19" t="str">
        <f aca="false">IF(M28="","",INDEX(Methodology!$A$55:$A$58,MATCH(M28,Methodology!$B$55:$B$58,1)))</f>
        <v/>
      </c>
      <c r="O28" s="22"/>
      <c r="P28" s="21"/>
      <c r="Q28" s="21"/>
      <c r="R28" s="24"/>
      <c r="S28" s="22"/>
    </row>
    <row r="29" customFormat="false" ht="15" hidden="false" customHeight="false" outlineLevel="0" collapsed="false">
      <c r="A29" s="22"/>
      <c r="B29" s="22"/>
      <c r="C29" s="4" t="str">
        <f aca="false">IF(B29="","",IFERROR(INDEX(Vendor_Register!$B$6:$B$15,MATCH(B29,Vendor_Register!$A$6:$A$15,0)),"Unknown vendor ID"))</f>
        <v/>
      </c>
      <c r="D29" s="21"/>
      <c r="E29" s="21"/>
      <c r="F29" s="22"/>
      <c r="G29" s="22"/>
      <c r="H29" s="12" t="str">
        <f aca="false">IF(OR(F29="",G29=""),"",F29*G29)</f>
        <v/>
      </c>
      <c r="I29" s="19" t="str">
        <f aca="false">IF(H29="","",INDEX(Methodology!$A$55:$A$58,MATCH(H29,Methodology!$B$55:$B$58,1)))</f>
        <v/>
      </c>
      <c r="J29" s="21"/>
      <c r="K29" s="22"/>
      <c r="L29" s="22"/>
      <c r="M29" s="12" t="str">
        <f aca="false">IF(OR(K29="",L29=""),"",K29*L29)</f>
        <v/>
      </c>
      <c r="N29" s="19" t="str">
        <f aca="false">IF(M29="","",INDEX(Methodology!$A$55:$A$58,MATCH(M29,Methodology!$B$55:$B$58,1)))</f>
        <v/>
      </c>
      <c r="O29" s="22"/>
      <c r="P29" s="21"/>
      <c r="Q29" s="21"/>
      <c r="R29" s="24"/>
      <c r="S29" s="22"/>
    </row>
    <row r="30" customFormat="false" ht="15" hidden="false" customHeight="false" outlineLevel="0" collapsed="false">
      <c r="A30" s="22"/>
      <c r="B30" s="22"/>
      <c r="C30" s="4" t="str">
        <f aca="false">IF(B30="","",IFERROR(INDEX(Vendor_Register!$B$6:$B$15,MATCH(B30,Vendor_Register!$A$6:$A$15,0)),"Unknown vendor ID"))</f>
        <v/>
      </c>
      <c r="D30" s="21"/>
      <c r="E30" s="21"/>
      <c r="F30" s="22"/>
      <c r="G30" s="22"/>
      <c r="H30" s="12" t="str">
        <f aca="false">IF(OR(F30="",G30=""),"",F30*G30)</f>
        <v/>
      </c>
      <c r="I30" s="19" t="str">
        <f aca="false">IF(H30="","",INDEX(Methodology!$A$55:$A$58,MATCH(H30,Methodology!$B$55:$B$58,1)))</f>
        <v/>
      </c>
      <c r="J30" s="21"/>
      <c r="K30" s="22"/>
      <c r="L30" s="22"/>
      <c r="M30" s="12" t="str">
        <f aca="false">IF(OR(K30="",L30=""),"",K30*L30)</f>
        <v/>
      </c>
      <c r="N30" s="19" t="str">
        <f aca="false">IF(M30="","",INDEX(Methodology!$A$55:$A$58,MATCH(M30,Methodology!$B$55:$B$58,1)))</f>
        <v/>
      </c>
      <c r="O30" s="22"/>
      <c r="P30" s="21"/>
      <c r="Q30" s="21"/>
      <c r="R30" s="24"/>
      <c r="S30" s="22"/>
    </row>
    <row r="31" customFormat="false" ht="15" hidden="false" customHeight="false" outlineLevel="0" collapsed="false">
      <c r="A31" s="22"/>
      <c r="B31" s="22"/>
      <c r="C31" s="4" t="str">
        <f aca="false">IF(B31="","",IFERROR(INDEX(Vendor_Register!$B$6:$B$15,MATCH(B31,Vendor_Register!$A$6:$A$15,0)),"Unknown vendor ID"))</f>
        <v/>
      </c>
      <c r="D31" s="21"/>
      <c r="E31" s="21"/>
      <c r="F31" s="22"/>
      <c r="G31" s="22"/>
      <c r="H31" s="12" t="str">
        <f aca="false">IF(OR(F31="",G31=""),"",F31*G31)</f>
        <v/>
      </c>
      <c r="I31" s="19" t="str">
        <f aca="false">IF(H31="","",INDEX(Methodology!$A$55:$A$58,MATCH(H31,Methodology!$B$55:$B$58,1)))</f>
        <v/>
      </c>
      <c r="J31" s="21"/>
      <c r="K31" s="22"/>
      <c r="L31" s="22"/>
      <c r="M31" s="12" t="str">
        <f aca="false">IF(OR(K31="",L31=""),"",K31*L31)</f>
        <v/>
      </c>
      <c r="N31" s="19" t="str">
        <f aca="false">IF(M31="","",INDEX(Methodology!$A$55:$A$58,MATCH(M31,Methodology!$B$55:$B$58,1)))</f>
        <v/>
      </c>
      <c r="O31" s="22"/>
      <c r="P31" s="21"/>
      <c r="Q31" s="21"/>
      <c r="R31" s="24"/>
      <c r="S31" s="22"/>
    </row>
    <row r="32" customFormat="false" ht="15" hidden="false" customHeight="false" outlineLevel="0" collapsed="false">
      <c r="A32" s="22"/>
      <c r="B32" s="22"/>
      <c r="C32" s="4" t="str">
        <f aca="false">IF(B32="","",IFERROR(INDEX(Vendor_Register!$B$6:$B$15,MATCH(B32,Vendor_Register!$A$6:$A$15,0)),"Unknown vendor ID"))</f>
        <v/>
      </c>
      <c r="D32" s="21"/>
      <c r="E32" s="21"/>
      <c r="F32" s="22"/>
      <c r="G32" s="22"/>
      <c r="H32" s="12" t="str">
        <f aca="false">IF(OR(F32="",G32=""),"",F32*G32)</f>
        <v/>
      </c>
      <c r="I32" s="19" t="str">
        <f aca="false">IF(H32="","",INDEX(Methodology!$A$55:$A$58,MATCH(H32,Methodology!$B$55:$B$58,1)))</f>
        <v/>
      </c>
      <c r="J32" s="21"/>
      <c r="K32" s="22"/>
      <c r="L32" s="22"/>
      <c r="M32" s="12" t="str">
        <f aca="false">IF(OR(K32="",L32=""),"",K32*L32)</f>
        <v/>
      </c>
      <c r="N32" s="19" t="str">
        <f aca="false">IF(M32="","",INDEX(Methodology!$A$55:$A$58,MATCH(M32,Methodology!$B$55:$B$58,1)))</f>
        <v/>
      </c>
      <c r="O32" s="22"/>
      <c r="P32" s="21"/>
      <c r="Q32" s="21"/>
      <c r="R32" s="24"/>
      <c r="S32" s="22"/>
    </row>
    <row r="33" customFormat="false" ht="15" hidden="false" customHeight="false" outlineLevel="0" collapsed="false">
      <c r="A33" s="22"/>
      <c r="B33" s="22"/>
      <c r="C33" s="4" t="str">
        <f aca="false">IF(B33="","",IFERROR(INDEX(Vendor_Register!$B$6:$B$15,MATCH(B33,Vendor_Register!$A$6:$A$15,0)),"Unknown vendor ID"))</f>
        <v/>
      </c>
      <c r="D33" s="21"/>
      <c r="E33" s="21"/>
      <c r="F33" s="22"/>
      <c r="G33" s="22"/>
      <c r="H33" s="12" t="str">
        <f aca="false">IF(OR(F33="",G33=""),"",F33*G33)</f>
        <v/>
      </c>
      <c r="I33" s="19" t="str">
        <f aca="false">IF(H33="","",INDEX(Methodology!$A$55:$A$58,MATCH(H33,Methodology!$B$55:$B$58,1)))</f>
        <v/>
      </c>
      <c r="J33" s="21"/>
      <c r="K33" s="22"/>
      <c r="L33" s="22"/>
      <c r="M33" s="12" t="str">
        <f aca="false">IF(OR(K33="",L33=""),"",K33*L33)</f>
        <v/>
      </c>
      <c r="N33" s="19" t="str">
        <f aca="false">IF(M33="","",INDEX(Methodology!$A$55:$A$58,MATCH(M33,Methodology!$B$55:$B$58,1)))</f>
        <v/>
      </c>
      <c r="O33" s="22"/>
      <c r="P33" s="21"/>
      <c r="Q33" s="21"/>
      <c r="R33" s="24"/>
      <c r="S33" s="22"/>
    </row>
    <row r="34" customFormat="false" ht="15" hidden="false" customHeight="false" outlineLevel="0" collapsed="false">
      <c r="A34" s="22"/>
      <c r="B34" s="22"/>
      <c r="C34" s="4" t="str">
        <f aca="false">IF(B34="","",IFERROR(INDEX(Vendor_Register!$B$6:$B$15,MATCH(B34,Vendor_Register!$A$6:$A$15,0)),"Unknown vendor ID"))</f>
        <v/>
      </c>
      <c r="D34" s="21"/>
      <c r="E34" s="21"/>
      <c r="F34" s="22"/>
      <c r="G34" s="22"/>
      <c r="H34" s="12" t="str">
        <f aca="false">IF(OR(F34="",G34=""),"",F34*G34)</f>
        <v/>
      </c>
      <c r="I34" s="19" t="str">
        <f aca="false">IF(H34="","",INDEX(Methodology!$A$55:$A$58,MATCH(H34,Methodology!$B$55:$B$58,1)))</f>
        <v/>
      </c>
      <c r="J34" s="21"/>
      <c r="K34" s="22"/>
      <c r="L34" s="22"/>
      <c r="M34" s="12" t="str">
        <f aca="false">IF(OR(K34="",L34=""),"",K34*L34)</f>
        <v/>
      </c>
      <c r="N34" s="19" t="str">
        <f aca="false">IF(M34="","",INDEX(Methodology!$A$55:$A$58,MATCH(M34,Methodology!$B$55:$B$58,1)))</f>
        <v/>
      </c>
      <c r="O34" s="22"/>
      <c r="P34" s="21"/>
      <c r="Q34" s="21"/>
      <c r="R34" s="24"/>
      <c r="S34" s="22"/>
    </row>
    <row r="35" customFormat="false" ht="15" hidden="false" customHeight="false" outlineLevel="0" collapsed="false">
      <c r="A35" s="22"/>
      <c r="B35" s="22"/>
      <c r="C35" s="4" t="str">
        <f aca="false">IF(B35="","",IFERROR(INDEX(Vendor_Register!$B$6:$B$15,MATCH(B35,Vendor_Register!$A$6:$A$15,0)),"Unknown vendor ID"))</f>
        <v/>
      </c>
      <c r="D35" s="21"/>
      <c r="E35" s="21"/>
      <c r="F35" s="22"/>
      <c r="G35" s="22"/>
      <c r="H35" s="12" t="str">
        <f aca="false">IF(OR(F35="",G35=""),"",F35*G35)</f>
        <v/>
      </c>
      <c r="I35" s="19" t="str">
        <f aca="false">IF(H35="","",INDEX(Methodology!$A$55:$A$58,MATCH(H35,Methodology!$B$55:$B$58,1)))</f>
        <v/>
      </c>
      <c r="J35" s="21"/>
      <c r="K35" s="22"/>
      <c r="L35" s="22"/>
      <c r="M35" s="12" t="str">
        <f aca="false">IF(OR(K35="",L35=""),"",K35*L35)</f>
        <v/>
      </c>
      <c r="N35" s="19" t="str">
        <f aca="false">IF(M35="","",INDEX(Methodology!$A$55:$A$58,MATCH(M35,Methodology!$B$55:$B$58,1)))</f>
        <v/>
      </c>
      <c r="O35" s="22"/>
      <c r="P35" s="21"/>
      <c r="Q35" s="21"/>
      <c r="R35" s="24"/>
      <c r="S35" s="22"/>
    </row>
  </sheetData>
  <conditionalFormatting sqref="I6:I35">
    <cfRule type="cellIs" priority="2" operator="equal" aboveAverage="0" equalAverage="0" bottom="0" percent="0" rank="0" text="" dxfId="0">
      <formula>"Critical"</formula>
    </cfRule>
    <cfRule type="cellIs" priority="3" operator="equal" aboveAverage="0" equalAverage="0" bottom="0" percent="0" rank="0" text="" dxfId="1">
      <formula>"High"</formula>
    </cfRule>
    <cfRule type="cellIs" priority="4" operator="equal" aboveAverage="0" equalAverage="0" bottom="0" percent="0" rank="0" text="" dxfId="2">
      <formula>"Medium"</formula>
    </cfRule>
    <cfRule type="cellIs" priority="5" operator="equal" aboveAverage="0" equalAverage="0" bottom="0" percent="0" rank="0" text="" dxfId="3">
      <formula>"Low"</formula>
    </cfRule>
  </conditionalFormatting>
  <conditionalFormatting sqref="N6:N35">
    <cfRule type="cellIs" priority="6" operator="equal" aboveAverage="0" equalAverage="0" bottom="0" percent="0" rank="0" text="" dxfId="0">
      <formula>"Critical"</formula>
    </cfRule>
    <cfRule type="cellIs" priority="7" operator="equal" aboveAverage="0" equalAverage="0" bottom="0" percent="0" rank="0" text="" dxfId="1">
      <formula>"High"</formula>
    </cfRule>
    <cfRule type="cellIs" priority="8" operator="equal" aboveAverage="0" equalAverage="0" bottom="0" percent="0" rank="0" text="" dxfId="2">
      <formula>"Medium"</formula>
    </cfRule>
    <cfRule type="cellIs" priority="9" operator="equal" aboveAverage="0" equalAverage="0" bottom="0" percent="0" rank="0" text="" dxfId="3">
      <formula>"Low"</formula>
    </cfRule>
  </conditionalFormatting>
  <dataValidations count="4">
    <dataValidation allowBlank="true" error="Enter a whole number from 1 to 5." errorStyle="stop" errorTitle="Invalid score" operator="between" showDropDown="false" showErrorMessage="false" showInputMessage="false" sqref="F6:G35 K6:L35" type="whole">
      <formula1>1</formula1>
      <formula2>5</formula2>
    </dataValidation>
    <dataValidation allowBlank="true" error="Please choose a value from the list." errorStyle="stop" errorTitle="Invalid entry" operator="between" showDropDown="false" showErrorMessage="false" showInputMessage="false" sqref="D6:D35" type="list">
      <formula1>"Information security / data breach,Availability / resilience,Privacy &amp; data protection,Regulatory &amp; compliance,AI model &amp; governance,Fourth-party / supply chain,Contractual &amp; commercial,Concentration / lock-in"</formula1>
      <formula2>0</formula2>
    </dataValidation>
    <dataValidation allowBlank="true" error="Please choose a value from the list." errorStyle="stop" errorTitle="Invalid entry" operator="between" showDropDown="false" showErrorMessage="false" showInputMessage="false" sqref="O6:O35" type="list">
      <formula1>"Mitigate,Accept,Transfer,Avoid"</formula1>
      <formula2>0</formula2>
    </dataValidation>
    <dataValidation allowBlank="true" error="Please choose a value from the list." errorStyle="stop" errorTitle="Invalid entry" operator="between" showDropDown="false" showErrorMessage="false" showInputMessage="false" sqref="S6:S35" type="list">
      <formula1>"Open,In Progress,Accepted,Closed"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FAADC"/>
    <pageSetUpPr fitToPage="true"/>
  </sheetPr>
  <dimension ref="A1:H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4"/>
    <col collapsed="false" customWidth="true" hidden="false" outlineLevel="0" max="3" min="3" style="0" width="60"/>
    <col collapsed="false" customWidth="true" hidden="false" outlineLevel="0" max="5" min="4" style="0" width="30"/>
    <col collapsed="false" customWidth="true" hidden="false" outlineLevel="0" max="6" min="6" style="0" width="32"/>
    <col collapsed="false" customWidth="true" hidden="false" outlineLevel="0" max="7" min="7" style="0" width="14"/>
    <col collapsed="false" customWidth="true" hidden="false" outlineLevel="0" max="8" min="8" style="0" width="32"/>
  </cols>
  <sheetData>
    <row r="1" customFormat="false" ht="19.7" hidden="false" customHeight="false" outlineLevel="0" collapsed="false">
      <c r="A1" s="1" t="s">
        <v>710</v>
      </c>
    </row>
    <row r="2" customFormat="false" ht="15" hidden="false" customHeight="false" outlineLevel="0" collapsed="false">
      <c r="A2" s="2" t="s">
        <v>711</v>
      </c>
    </row>
    <row r="5" customFormat="false" ht="33.75" hidden="false" customHeight="true" outlineLevel="0" collapsed="false">
      <c r="A5" s="10" t="s">
        <v>712</v>
      </c>
      <c r="B5" s="10" t="s">
        <v>713</v>
      </c>
      <c r="C5" s="10" t="s">
        <v>714</v>
      </c>
      <c r="D5" s="10" t="s">
        <v>715</v>
      </c>
      <c r="E5" s="10" t="s">
        <v>716</v>
      </c>
      <c r="F5" s="10" t="s">
        <v>717</v>
      </c>
      <c r="G5" s="10" t="s">
        <v>718</v>
      </c>
      <c r="H5" s="10" t="s">
        <v>719</v>
      </c>
    </row>
    <row r="6" customFormat="false" ht="35.05" hidden="false" customHeight="false" outlineLevel="0" collapsed="false">
      <c r="A6" s="12" t="n">
        <v>1</v>
      </c>
      <c r="B6" s="11" t="s">
        <v>720</v>
      </c>
      <c r="C6" s="4" t="s">
        <v>721</v>
      </c>
      <c r="D6" s="4" t="s">
        <v>722</v>
      </c>
      <c r="E6" s="4" t="s">
        <v>723</v>
      </c>
      <c r="F6" s="4" t="s">
        <v>504</v>
      </c>
      <c r="G6" s="12" t="n">
        <v>2</v>
      </c>
      <c r="H6" s="4" t="s">
        <v>724</v>
      </c>
    </row>
    <row r="7" customFormat="false" ht="23.85" hidden="false" customHeight="false" outlineLevel="0" collapsed="false">
      <c r="A7" s="12" t="n">
        <v>2</v>
      </c>
      <c r="B7" s="11" t="s">
        <v>725</v>
      </c>
      <c r="C7" s="4" t="s">
        <v>726</v>
      </c>
      <c r="D7" s="4" t="s">
        <v>505</v>
      </c>
      <c r="E7" s="4" t="s">
        <v>727</v>
      </c>
      <c r="F7" s="4" t="s">
        <v>728</v>
      </c>
      <c r="G7" s="12" t="n">
        <v>2</v>
      </c>
      <c r="H7" s="4" t="s">
        <v>729</v>
      </c>
    </row>
    <row r="8" customFormat="false" ht="35.05" hidden="false" customHeight="false" outlineLevel="0" collapsed="false">
      <c r="A8" s="12" t="n">
        <v>3</v>
      </c>
      <c r="B8" s="11" t="s">
        <v>730</v>
      </c>
      <c r="C8" s="4" t="s">
        <v>731</v>
      </c>
      <c r="D8" s="4" t="s">
        <v>732</v>
      </c>
      <c r="E8" s="4" t="s">
        <v>733</v>
      </c>
      <c r="F8" s="4" t="s">
        <v>734</v>
      </c>
      <c r="G8" s="12" t="n">
        <v>10</v>
      </c>
      <c r="H8" s="4" t="s">
        <v>735</v>
      </c>
    </row>
    <row r="9" customFormat="false" ht="23.85" hidden="false" customHeight="false" outlineLevel="0" collapsed="false">
      <c r="A9" s="12" t="n">
        <v>4</v>
      </c>
      <c r="B9" s="11" t="s">
        <v>736</v>
      </c>
      <c r="C9" s="4" t="s">
        <v>737</v>
      </c>
      <c r="D9" s="4" t="s">
        <v>738</v>
      </c>
      <c r="E9" s="4" t="s">
        <v>739</v>
      </c>
      <c r="F9" s="4" t="s">
        <v>740</v>
      </c>
      <c r="G9" s="12" t="n">
        <v>5</v>
      </c>
      <c r="H9" s="4" t="s">
        <v>741</v>
      </c>
    </row>
    <row r="10" customFormat="false" ht="23.85" hidden="false" customHeight="false" outlineLevel="0" collapsed="false">
      <c r="A10" s="12" t="n">
        <v>5</v>
      </c>
      <c r="B10" s="11" t="s">
        <v>742</v>
      </c>
      <c r="C10" s="4" t="s">
        <v>743</v>
      </c>
      <c r="D10" s="4" t="s">
        <v>744</v>
      </c>
      <c r="E10" s="4" t="s">
        <v>745</v>
      </c>
      <c r="F10" s="4" t="s">
        <v>746</v>
      </c>
      <c r="G10" s="12" t="n">
        <v>5</v>
      </c>
      <c r="H10" s="4" t="s">
        <v>747</v>
      </c>
    </row>
    <row r="11" customFormat="false" ht="35.05" hidden="false" customHeight="false" outlineLevel="0" collapsed="false">
      <c r="A11" s="12" t="n">
        <v>6</v>
      </c>
      <c r="B11" s="11" t="s">
        <v>748</v>
      </c>
      <c r="C11" s="4" t="s">
        <v>749</v>
      </c>
      <c r="D11" s="4" t="s">
        <v>750</v>
      </c>
      <c r="E11" s="4" t="s">
        <v>751</v>
      </c>
      <c r="F11" s="4" t="s">
        <v>752</v>
      </c>
      <c r="G11" s="12" t="n">
        <v>5</v>
      </c>
      <c r="H11" s="4" t="s">
        <v>753</v>
      </c>
    </row>
    <row r="12" customFormat="false" ht="23.85" hidden="false" customHeight="false" outlineLevel="0" collapsed="false">
      <c r="A12" s="12" t="n">
        <v>7</v>
      </c>
      <c r="B12" s="11" t="s">
        <v>754</v>
      </c>
      <c r="C12" s="4" t="s">
        <v>755</v>
      </c>
      <c r="D12" s="4" t="s">
        <v>505</v>
      </c>
      <c r="E12" s="4" t="s">
        <v>756</v>
      </c>
      <c r="F12" s="4" t="s">
        <v>757</v>
      </c>
      <c r="G12" s="12" t="n">
        <v>3</v>
      </c>
      <c r="H12" s="4" t="s">
        <v>758</v>
      </c>
    </row>
    <row r="13" customFormat="false" ht="23.85" hidden="false" customHeight="false" outlineLevel="0" collapsed="false">
      <c r="A13" s="12" t="n">
        <v>8</v>
      </c>
      <c r="B13" s="11" t="s">
        <v>759</v>
      </c>
      <c r="C13" s="4" t="s">
        <v>760</v>
      </c>
      <c r="D13" s="4" t="s">
        <v>761</v>
      </c>
      <c r="E13" s="4" t="s">
        <v>762</v>
      </c>
      <c r="F13" s="4" t="s">
        <v>763</v>
      </c>
      <c r="G13" s="12" t="n">
        <v>5</v>
      </c>
      <c r="H13" s="4" t="s">
        <v>764</v>
      </c>
    </row>
    <row r="14" customFormat="false" ht="23.85" hidden="false" customHeight="false" outlineLevel="0" collapsed="false">
      <c r="A14" s="12" t="n">
        <v>9</v>
      </c>
      <c r="B14" s="11" t="s">
        <v>765</v>
      </c>
      <c r="C14" s="4" t="s">
        <v>766</v>
      </c>
      <c r="D14" s="4" t="s">
        <v>767</v>
      </c>
      <c r="E14" s="4" t="s">
        <v>768</v>
      </c>
      <c r="F14" s="4" t="s">
        <v>769</v>
      </c>
      <c r="G14" s="12" t="n">
        <v>10</v>
      </c>
      <c r="H14" s="4" t="s">
        <v>770</v>
      </c>
    </row>
    <row r="15" customFormat="false" ht="35.05" hidden="false" customHeight="false" outlineLevel="0" collapsed="false">
      <c r="A15" s="12" t="n">
        <v>10</v>
      </c>
      <c r="B15" s="11" t="s">
        <v>771</v>
      </c>
      <c r="C15" s="4" t="s">
        <v>772</v>
      </c>
      <c r="D15" s="4" t="s">
        <v>773</v>
      </c>
      <c r="E15" s="4" t="s">
        <v>774</v>
      </c>
      <c r="F15" s="4" t="s">
        <v>775</v>
      </c>
      <c r="G15" s="12" t="s">
        <v>776</v>
      </c>
      <c r="H15" s="4" t="s">
        <v>777</v>
      </c>
    </row>
    <row r="18" customFormat="false" ht="15" hidden="false" customHeight="false" outlineLevel="0" collapsed="false">
      <c r="A18" s="5" t="s">
        <v>778</v>
      </c>
      <c r="B18" s="6"/>
      <c r="C18" s="6"/>
      <c r="D18" s="6"/>
      <c r="E18" s="6"/>
      <c r="F18" s="6"/>
      <c r="G18" s="6"/>
      <c r="H18" s="6"/>
    </row>
    <row r="19" customFormat="false" ht="24" hidden="false" customHeight="true" outlineLevel="0" collapsed="false">
      <c r="A19" s="10" t="s">
        <v>68</v>
      </c>
      <c r="B19" s="10" t="s">
        <v>69</v>
      </c>
      <c r="C19" s="10" t="s">
        <v>779</v>
      </c>
      <c r="D19" s="10" t="s">
        <v>780</v>
      </c>
    </row>
    <row r="20" customFormat="false" ht="15" hidden="false" customHeight="false" outlineLevel="0" collapsed="false">
      <c r="A20" s="11" t="s">
        <v>32</v>
      </c>
      <c r="B20" s="21" t="s">
        <v>781</v>
      </c>
      <c r="C20" s="21" t="s">
        <v>782</v>
      </c>
      <c r="D20" s="21" t="s">
        <v>783</v>
      </c>
    </row>
    <row r="21" customFormat="false" ht="23.85" hidden="false" customHeight="false" outlineLevel="0" collapsed="false">
      <c r="A21" s="11" t="s">
        <v>33</v>
      </c>
      <c r="B21" s="21" t="s">
        <v>784</v>
      </c>
      <c r="C21" s="21" t="s">
        <v>785</v>
      </c>
      <c r="D21" s="21" t="s">
        <v>783</v>
      </c>
    </row>
    <row r="22" customFormat="false" ht="23.85" hidden="false" customHeight="false" outlineLevel="0" collapsed="false">
      <c r="A22" s="11" t="s">
        <v>34</v>
      </c>
      <c r="B22" s="21" t="s">
        <v>786</v>
      </c>
      <c r="C22" s="21" t="s">
        <v>787</v>
      </c>
      <c r="D22" s="21" t="s">
        <v>788</v>
      </c>
    </row>
    <row r="23" customFormat="false" ht="23.85" hidden="false" customHeight="false" outlineLevel="0" collapsed="false">
      <c r="A23" s="11" t="s">
        <v>35</v>
      </c>
      <c r="B23" s="21" t="s">
        <v>789</v>
      </c>
      <c r="C23" s="21" t="s">
        <v>790</v>
      </c>
      <c r="D23" s="21" t="s">
        <v>791</v>
      </c>
    </row>
    <row r="25" customFormat="false" ht="15" hidden="false" customHeight="false" outlineLevel="0" collapsed="false">
      <c r="A25" s="5" t="s">
        <v>792</v>
      </c>
      <c r="B25" s="6"/>
      <c r="C25" s="6"/>
      <c r="D25" s="6"/>
      <c r="E25" s="6"/>
      <c r="F25" s="6"/>
      <c r="G25" s="6"/>
      <c r="H25" s="6"/>
    </row>
    <row r="26" customFormat="false" ht="27.75" hidden="false" customHeight="true" outlineLevel="0" collapsed="false">
      <c r="A26" s="31" t="s">
        <v>793</v>
      </c>
      <c r="B26" s="31"/>
      <c r="C26" s="31"/>
      <c r="D26" s="31"/>
      <c r="E26" s="31"/>
      <c r="F26" s="31"/>
      <c r="G26" s="31"/>
      <c r="H26" s="31"/>
    </row>
    <row r="27" customFormat="false" ht="27.75" hidden="false" customHeight="true" outlineLevel="0" collapsed="false">
      <c r="A27" s="31" t="s">
        <v>794</v>
      </c>
      <c r="B27" s="31"/>
      <c r="C27" s="31"/>
      <c r="D27" s="31"/>
      <c r="E27" s="31"/>
      <c r="F27" s="31"/>
      <c r="G27" s="31"/>
      <c r="H27" s="31"/>
    </row>
    <row r="28" customFormat="false" ht="27.75" hidden="false" customHeight="true" outlineLevel="0" collapsed="false">
      <c r="A28" s="31" t="s">
        <v>795</v>
      </c>
      <c r="B28" s="31"/>
      <c r="C28" s="31"/>
      <c r="D28" s="31"/>
      <c r="E28" s="31"/>
      <c r="F28" s="31"/>
      <c r="G28" s="31"/>
      <c r="H28" s="31"/>
    </row>
    <row r="29" customFormat="false" ht="27.75" hidden="false" customHeight="true" outlineLevel="0" collapsed="false">
      <c r="A29" s="31" t="s">
        <v>796</v>
      </c>
      <c r="B29" s="31"/>
      <c r="C29" s="31"/>
      <c r="D29" s="31"/>
      <c r="E29" s="31"/>
      <c r="F29" s="31"/>
      <c r="G29" s="31"/>
      <c r="H29" s="31"/>
    </row>
    <row r="30" customFormat="false" ht="27.75" hidden="false" customHeight="true" outlineLevel="0" collapsed="false">
      <c r="A30" s="31" t="s">
        <v>797</v>
      </c>
      <c r="B30" s="31"/>
      <c r="C30" s="31"/>
      <c r="D30" s="31"/>
      <c r="E30" s="31"/>
      <c r="F30" s="31"/>
      <c r="G30" s="31"/>
      <c r="H30" s="31"/>
    </row>
  </sheetData>
  <mergeCells count="5">
    <mergeCell ref="A26:H26"/>
    <mergeCell ref="A27:H27"/>
    <mergeCell ref="A28:H28"/>
    <mergeCell ref="A29:H29"/>
    <mergeCell ref="A30:H30"/>
  </mergeCells>
  <conditionalFormatting sqref="A20:A23">
    <cfRule type="cellIs" priority="2" operator="equal" aboveAverage="0" equalAverage="0" bottom="0" percent="0" rank="0" text="" dxfId="0">
      <formula>"Critical"</formula>
    </cfRule>
    <cfRule type="cellIs" priority="3" operator="equal" aboveAverage="0" equalAverage="0" bottom="0" percent="0" rank="0" text="" dxfId="1">
      <formula>"High"</formula>
    </cfRule>
    <cfRule type="cellIs" priority="4" operator="equal" aboveAverage="0" equalAverage="0" bottom="0" percent="0" rank="0" text="" dxfId="2">
      <formula>"Medium"</formula>
    </cfRule>
    <cfRule type="cellIs" priority="5" operator="equal" aboveAverage="0" equalAverage="0" bottom="0" percent="0" rank="0" text="" dxfId="3">
      <formula>"Low"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FAADC"/>
    <pageSetUpPr fitToPage="true"/>
  </sheetPr>
  <dimension ref="A1:L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8"/>
    <col collapsed="false" customWidth="true" hidden="false" outlineLevel="0" max="3" min="3" style="0" width="18"/>
    <col collapsed="false" customWidth="true" hidden="false" outlineLevel="0" max="5" min="4" style="0" width="16"/>
    <col collapsed="false" customWidth="true" hidden="false" outlineLevel="0" max="6" min="6" style="0" width="22"/>
    <col collapsed="false" customWidth="true" hidden="false" outlineLevel="0" max="7" min="7" style="0" width="38"/>
    <col collapsed="false" customWidth="true" hidden="false" outlineLevel="0" max="8" min="8" style="0" width="16"/>
    <col collapsed="false" customWidth="true" hidden="false" outlineLevel="0" max="9" min="9" style="0" width="20"/>
    <col collapsed="false" customWidth="true" hidden="false" outlineLevel="0" max="11" min="10" style="0" width="16"/>
    <col collapsed="false" customWidth="true" hidden="false" outlineLevel="0" max="12" min="12" style="0" width="26"/>
  </cols>
  <sheetData>
    <row r="1" customFormat="false" ht="19.7" hidden="false" customHeight="false" outlineLevel="0" collapsed="false">
      <c r="A1" s="1" t="s">
        <v>798</v>
      </c>
    </row>
    <row r="2" customFormat="false" ht="15" hidden="false" customHeight="false" outlineLevel="0" collapsed="false">
      <c r="A2" s="2" t="s">
        <v>799</v>
      </c>
    </row>
    <row r="3" customFormat="false" ht="15" hidden="false" customHeight="false" outlineLevel="0" collapsed="false">
      <c r="A3" s="5" t="s">
        <v>800</v>
      </c>
      <c r="B3" s="6"/>
      <c r="C3" s="6"/>
      <c r="D3" s="6"/>
      <c r="E3" s="6"/>
      <c r="F3" s="6"/>
      <c r="G3" s="6"/>
    </row>
    <row r="4" customFormat="false" ht="24" hidden="false" customHeight="true" outlineLevel="0" collapsed="false">
      <c r="A4" s="10" t="s">
        <v>801</v>
      </c>
      <c r="B4" s="10" t="s">
        <v>35</v>
      </c>
      <c r="C4" s="10" t="s">
        <v>34</v>
      </c>
      <c r="D4" s="10" t="s">
        <v>33</v>
      </c>
      <c r="E4" s="10" t="s">
        <v>32</v>
      </c>
      <c r="F4" s="10" t="s">
        <v>715</v>
      </c>
      <c r="G4" s="10" t="s">
        <v>802</v>
      </c>
    </row>
    <row r="5" customFormat="false" ht="30" hidden="false" customHeight="true" outlineLevel="0" collapsed="false">
      <c r="A5" s="11" t="s">
        <v>803</v>
      </c>
      <c r="B5" s="12" t="n">
        <f aca="false">Methodology!$D$23</f>
        <v>12</v>
      </c>
      <c r="C5" s="12" t="n">
        <f aca="false">Methodology!$D$22</f>
        <v>18</v>
      </c>
      <c r="D5" s="12" t="n">
        <f aca="false">Methodology!$D$21</f>
        <v>24</v>
      </c>
      <c r="E5" s="12" t="n">
        <f aca="false">Methodology!$D$20</f>
        <v>36</v>
      </c>
      <c r="F5" s="4" t="s">
        <v>505</v>
      </c>
      <c r="G5" s="4" t="s">
        <v>804</v>
      </c>
    </row>
    <row r="6" customFormat="false" ht="30" hidden="false" customHeight="true" outlineLevel="0" collapsed="false">
      <c r="A6" s="11" t="s">
        <v>805</v>
      </c>
      <c r="B6" s="12" t="n">
        <f aca="false">Methodology!$E$23</f>
        <v>3</v>
      </c>
      <c r="C6" s="12" t="n">
        <f aca="false">Methodology!$E$22</f>
        <v>6</v>
      </c>
      <c r="D6" s="12" t="n">
        <f aca="false">Methodology!$E$21</f>
        <v>12</v>
      </c>
      <c r="E6" s="12" t="n">
        <f aca="false">Methodology!$E$20</f>
        <v>0</v>
      </c>
      <c r="F6" s="4" t="s">
        <v>505</v>
      </c>
      <c r="G6" s="4" t="s">
        <v>806</v>
      </c>
    </row>
    <row r="7" customFormat="false" ht="30" hidden="false" customHeight="true" outlineLevel="0" collapsed="false">
      <c r="A7" s="11" t="s">
        <v>807</v>
      </c>
      <c r="B7" s="12" t="s">
        <v>808</v>
      </c>
      <c r="C7" s="12" t="s">
        <v>809</v>
      </c>
      <c r="D7" s="12" t="s">
        <v>810</v>
      </c>
      <c r="E7" s="12" t="s">
        <v>811</v>
      </c>
      <c r="F7" s="4" t="s">
        <v>522</v>
      </c>
      <c r="G7" s="4" t="s">
        <v>812</v>
      </c>
    </row>
    <row r="8" customFormat="false" ht="30" hidden="false" customHeight="true" outlineLevel="0" collapsed="false">
      <c r="A8" s="11" t="s">
        <v>813</v>
      </c>
      <c r="B8" s="12" t="s">
        <v>814</v>
      </c>
      <c r="C8" s="12" t="s">
        <v>814</v>
      </c>
      <c r="D8" s="12" t="s">
        <v>811</v>
      </c>
      <c r="E8" s="12" t="s">
        <v>815</v>
      </c>
      <c r="F8" s="4" t="s">
        <v>505</v>
      </c>
      <c r="G8" s="4" t="s">
        <v>816</v>
      </c>
    </row>
    <row r="9" customFormat="false" ht="30" hidden="false" customHeight="true" outlineLevel="0" collapsed="false">
      <c r="A9" s="11" t="s">
        <v>817</v>
      </c>
      <c r="B9" s="12" t="s">
        <v>809</v>
      </c>
      <c r="C9" s="12" t="s">
        <v>809</v>
      </c>
      <c r="D9" s="12" t="s">
        <v>810</v>
      </c>
      <c r="E9" s="12" t="s">
        <v>818</v>
      </c>
      <c r="F9" s="4" t="s">
        <v>505</v>
      </c>
      <c r="G9" s="4" t="s">
        <v>819</v>
      </c>
    </row>
    <row r="10" customFormat="false" ht="30" hidden="false" customHeight="true" outlineLevel="0" collapsed="false">
      <c r="A10" s="11" t="s">
        <v>820</v>
      </c>
      <c r="B10" s="12" t="s">
        <v>810</v>
      </c>
      <c r="C10" s="12" t="s">
        <v>810</v>
      </c>
      <c r="D10" s="12" t="s">
        <v>821</v>
      </c>
      <c r="E10" s="12" t="s">
        <v>811</v>
      </c>
      <c r="F10" s="4" t="s">
        <v>499</v>
      </c>
      <c r="G10" s="4" t="s">
        <v>822</v>
      </c>
    </row>
    <row r="11" customFormat="false" ht="30" hidden="false" customHeight="true" outlineLevel="0" collapsed="false">
      <c r="A11" s="11" t="s">
        <v>823</v>
      </c>
      <c r="B11" s="12" t="s">
        <v>810</v>
      </c>
      <c r="C11" s="12" t="s">
        <v>810</v>
      </c>
      <c r="D11" s="12" t="s">
        <v>821</v>
      </c>
      <c r="E11" s="12" t="s">
        <v>811</v>
      </c>
      <c r="F11" s="4" t="s">
        <v>628</v>
      </c>
      <c r="G11" s="4" t="s">
        <v>824</v>
      </c>
    </row>
    <row r="12" customFormat="false" ht="30" hidden="false" customHeight="true" outlineLevel="0" collapsed="false">
      <c r="A12" s="11" t="s">
        <v>825</v>
      </c>
      <c r="B12" s="12" t="s">
        <v>826</v>
      </c>
      <c r="C12" s="12" t="s">
        <v>826</v>
      </c>
      <c r="D12" s="12" t="s">
        <v>826</v>
      </c>
      <c r="E12" s="12" t="s">
        <v>826</v>
      </c>
      <c r="F12" s="4" t="s">
        <v>550</v>
      </c>
      <c r="G12" s="4" t="s">
        <v>827</v>
      </c>
    </row>
    <row r="13" customFormat="false" ht="30" hidden="false" customHeight="true" outlineLevel="0" collapsed="false">
      <c r="A13" s="11" t="s">
        <v>828</v>
      </c>
      <c r="B13" s="12" t="s">
        <v>829</v>
      </c>
      <c r="C13" s="12" t="s">
        <v>829</v>
      </c>
      <c r="D13" s="12" t="s">
        <v>810</v>
      </c>
      <c r="E13" s="12" t="s">
        <v>815</v>
      </c>
      <c r="F13" s="4" t="s">
        <v>592</v>
      </c>
      <c r="G13" s="4" t="s">
        <v>830</v>
      </c>
    </row>
    <row r="14" customFormat="false" ht="30" hidden="false" customHeight="true" outlineLevel="0" collapsed="false">
      <c r="A14" s="11" t="s">
        <v>831</v>
      </c>
      <c r="B14" s="12" t="s">
        <v>832</v>
      </c>
      <c r="C14" s="12" t="s">
        <v>832</v>
      </c>
      <c r="D14" s="12" t="s">
        <v>833</v>
      </c>
      <c r="E14" s="12" t="s">
        <v>834</v>
      </c>
      <c r="F14" s="4" t="s">
        <v>835</v>
      </c>
      <c r="G14" s="4" t="s">
        <v>836</v>
      </c>
    </row>
    <row r="17" customFormat="false" ht="15" hidden="false" customHeight="false" outlineLevel="0" collapsed="false">
      <c r="A17" s="5" t="s">
        <v>837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</row>
    <row r="18" customFormat="false" ht="48" hidden="false" customHeight="true" outlineLevel="0" collapsed="false">
      <c r="A18" s="10" t="s">
        <v>53</v>
      </c>
      <c r="B18" s="10" t="s">
        <v>54</v>
      </c>
      <c r="C18" s="10" t="s">
        <v>65</v>
      </c>
      <c r="D18" s="10" t="s">
        <v>70</v>
      </c>
      <c r="E18" s="10" t="s">
        <v>838</v>
      </c>
      <c r="F18" s="10" t="s">
        <v>839</v>
      </c>
      <c r="G18" s="10" t="s">
        <v>840</v>
      </c>
      <c r="H18" s="10" t="s">
        <v>841</v>
      </c>
      <c r="I18" s="10" t="s">
        <v>842</v>
      </c>
      <c r="J18" s="10" t="s">
        <v>74</v>
      </c>
      <c r="K18" s="10" t="s">
        <v>843</v>
      </c>
      <c r="L18" s="10" t="s">
        <v>844</v>
      </c>
    </row>
    <row r="19" customFormat="false" ht="15" hidden="false" customHeight="false" outlineLevel="0" collapsed="false">
      <c r="A19" s="12" t="str">
        <f aca="false">IF(Vendor_Register!A6="","",Vendor_Register!A6)</f>
        <v>V-001</v>
      </c>
      <c r="B19" s="4" t="str">
        <f aca="false">IF($A19="","",Vendor_Register!B6)</f>
        <v>Stratus Cloud Infrastructure</v>
      </c>
      <c r="C19" s="19" t="str">
        <f aca="false">IF($A19="","",Vendor_Register!M6)</f>
        <v>Critical</v>
      </c>
      <c r="D19" s="25" t="n">
        <f aca="false">IF(OR($A19="",Vendor_Register!U6=""),"",Vendor_Register!U6)</f>
        <v>46093</v>
      </c>
      <c r="E19" s="25" t="n">
        <f aca="false">IF($A19="","",Vendor_Register!W6)</f>
        <v>46458</v>
      </c>
      <c r="F19" s="12" t="n">
        <f aca="false">IF($A19="","",INDEX(Methodology!$E$20:$E$23,MATCH(C19,Methodology!$A$20:$A$23,0)))</f>
        <v>3</v>
      </c>
      <c r="G19" s="25" t="n">
        <f aca="false">IF(OR($A19="",D19=""),"",IF(F19=0,"At renewal",EDATE(D19,F19*(INT(((YEAR(Methodology!$B$4)-YEAR(D19))*12+MONTH(Methodology!$B$4)-MONTH(D19))/F19)+1))))</f>
        <v>46368</v>
      </c>
      <c r="H19" s="24" t="n">
        <v>46446</v>
      </c>
      <c r="I19" s="19" t="str">
        <f aca="false">IF($A19="","",IF(H19="","Not recorded",IF(H19&lt;Methodology!$B$4,"Expired",IF(H19-Methodology!$B$4&lt;=90,"Expiring within 90 days","Valid"))))</f>
        <v>Valid</v>
      </c>
      <c r="J19" s="25" t="n">
        <f aca="false">IF(OR($A19="",Vendor_Register!Y6=""),"",Vendor_Register!Y6)</f>
        <v>46568</v>
      </c>
      <c r="K19" s="25" t="n">
        <f aca="false">IF(J19="","",J19-IF(C19="Critical",180,IF(C19="High",180,IF(C19="Medium",120,90))))</f>
        <v>46388</v>
      </c>
      <c r="L19" s="4" t="str">
        <f aca="false">IF($A19="","",IF(E19="","Not yet assessed",IF(E19&lt;Methodology!$B$4,"Reassessment overdue",IF(I19="Expired","Attestation expired",IF(OR(I19="Expiring within 90 days",E19-Methodology!$B$4&lt;=90),"Action due within 90 days","On track")))))</f>
        <v>On track</v>
      </c>
    </row>
    <row r="20" customFormat="false" ht="15" hidden="false" customHeight="false" outlineLevel="0" collapsed="false">
      <c r="A20" s="12" t="str">
        <f aca="false">IF(Vendor_Register!A7="","",Vendor_Register!A7)</f>
        <v>V-002</v>
      </c>
      <c r="B20" s="4" t="str">
        <f aca="false">IF($A20="","",Vendor_Register!B7)</f>
        <v>NimbusAI Language Platform</v>
      </c>
      <c r="C20" s="19" t="str">
        <f aca="false">IF($A20="","",Vendor_Register!M7)</f>
        <v>High</v>
      </c>
      <c r="D20" s="25" t="str">
        <f aca="false">IF(OR($A20="",Vendor_Register!U7=""),"",Vendor_Register!U7)</f>
        <v/>
      </c>
      <c r="E20" s="25" t="str">
        <f aca="false">IF($A20="","",Vendor_Register!W7)</f>
        <v/>
      </c>
      <c r="F20" s="12" t="n">
        <f aca="false">IF($A20="","",INDEX(Methodology!$E$20:$E$23,MATCH(C20,Methodology!$A$20:$A$23,0)))</f>
        <v>6</v>
      </c>
      <c r="G20" s="25" t="str">
        <f aca="false">IF(OR($A20="",D20=""),"",IF(F20=0,"At renewal",EDATE(D20,F20*(INT(((YEAR(Methodology!$B$4)-YEAR(D20))*12+MONTH(Methodology!$B$4)-MONTH(D20))/F20)+1))))</f>
        <v/>
      </c>
      <c r="H20" s="24" t="n">
        <v>46371</v>
      </c>
      <c r="I20" s="19" t="str">
        <f aca="false">IF($A20="","",IF(H20="","Not recorded",IF(H20&lt;Methodology!$B$4,"Expired",IF(H20-Methodology!$B$4&lt;=90,"Expiring within 90 days","Valid"))))</f>
        <v>Expiring within 90 days</v>
      </c>
      <c r="J20" s="25" t="n">
        <f aca="false">IF(OR($A20="",Vendor_Register!Y7=""),"",Vendor_Register!Y7)</f>
        <v>46675</v>
      </c>
      <c r="K20" s="25" t="n">
        <f aca="false">IF(J20="","",J20-IF(C20="Critical",180,IF(C20="High",180,IF(C20="Medium",120,90))))</f>
        <v>46495</v>
      </c>
      <c r="L20" s="4" t="str">
        <f aca="false">IF($A20="","",IF(E20="","Not yet assessed",IF(E20&lt;Methodology!$B$4,"Reassessment overdue",IF(I20="Expired","Attestation expired",IF(OR(I20="Expiring within 90 days",E20-Methodology!$B$4&lt;=90),"Action due within 90 days","On track")))))</f>
        <v>Not yet assessed</v>
      </c>
    </row>
    <row r="21" customFormat="false" ht="15" hidden="false" customHeight="false" outlineLevel="0" collapsed="false">
      <c r="A21" s="12" t="str">
        <f aca="false">IF(Vendor_Register!A8="","",Vendor_Register!A8)</f>
        <v>V-003</v>
      </c>
      <c r="B21" s="4" t="str">
        <f aca="false">IF($A21="","",Vendor_Register!B8)</f>
        <v>Orbit CRM Suite</v>
      </c>
      <c r="C21" s="19" t="str">
        <f aca="false">IF($A21="","",Vendor_Register!M8)</f>
        <v>High</v>
      </c>
      <c r="D21" s="25" t="n">
        <f aca="false">IF(OR($A21="",Vendor_Register!U8=""),"",Vendor_Register!U8)</f>
        <v>45920</v>
      </c>
      <c r="E21" s="25" t="n">
        <f aca="false">IF($A21="","",Vendor_Register!W8)</f>
        <v>46466</v>
      </c>
      <c r="F21" s="12" t="n">
        <f aca="false">IF($A21="","",INDEX(Methodology!$E$20:$E$23,MATCH(C21,Methodology!$A$20:$A$23,0)))</f>
        <v>6</v>
      </c>
      <c r="G21" s="25" t="n">
        <f aca="false">IF(OR($A21="",D21=""),"",IF(F21=0,"At renewal",EDATE(D21,F21*(INT(((YEAR(Methodology!$B$4)-YEAR(D21))*12+MONTH(Methodology!$B$4)-MONTH(D21))/F21)+1))))</f>
        <v>46466</v>
      </c>
      <c r="H21" s="24" t="n">
        <v>46265</v>
      </c>
      <c r="I21" s="19" t="str">
        <f aca="false">IF($A21="","",IF(H21="","Not recorded",IF(H21&lt;Methodology!$B$4,"Expired",IF(H21-Methodology!$B$4&lt;=90,"Expiring within 90 days","Valid"))))</f>
        <v>Expired</v>
      </c>
      <c r="J21" s="25" t="n">
        <f aca="false">IF(OR($A21="",Vendor_Register!Y8=""),"",Vendor_Register!Y8)</f>
        <v>46630</v>
      </c>
      <c r="K21" s="25" t="n">
        <f aca="false">IF(J21="","",J21-IF(C21="Critical",180,IF(C21="High",180,IF(C21="Medium",120,90))))</f>
        <v>46450</v>
      </c>
      <c r="L21" s="4" t="str">
        <f aca="false">IF($A21="","",IF(E21="","Not yet assessed",IF(E21&lt;Methodology!$B$4,"Reassessment overdue",IF(I21="Expired","Attestation expired",IF(OR(I21="Expiring within 90 days",E21-Methodology!$B$4&lt;=90),"Action due within 90 days","On track")))))</f>
        <v>Attestation expired</v>
      </c>
    </row>
    <row r="22" customFormat="false" ht="15" hidden="false" customHeight="false" outlineLevel="0" collapsed="false">
      <c r="A22" s="12" t="str">
        <f aca="false">IF(Vendor_Register!A9="","",Vendor_Register!A9)</f>
        <v>V-004</v>
      </c>
      <c r="B22" s="4" t="str">
        <f aca="false">IF($A22="","",Vendor_Register!B9)</f>
        <v>InsightML Analytics</v>
      </c>
      <c r="C22" s="19" t="str">
        <f aca="false">IF($A22="","",Vendor_Register!M9)</f>
        <v>Medium</v>
      </c>
      <c r="D22" s="25" t="n">
        <f aca="false">IF(OR($A22="",Vendor_Register!U9=""),"",Vendor_Register!U9)</f>
        <v>45519</v>
      </c>
      <c r="E22" s="25" t="n">
        <f aca="false">IF($A22="","",Vendor_Register!W9)</f>
        <v>46249</v>
      </c>
      <c r="F22" s="12" t="n">
        <f aca="false">IF($A22="","",INDEX(Methodology!$E$20:$E$23,MATCH(C22,Methodology!$A$20:$A$23,0)))</f>
        <v>12</v>
      </c>
      <c r="G22" s="25" t="n">
        <f aca="false">IF(OR($A22="",D22=""),"",IF(F22=0,"At renewal",EDATE(D22,F22*(INT(((YEAR(Methodology!$B$4)-YEAR(D22))*12+MONTH(Methodology!$B$4)-MONTH(D22))/F22)+1))))</f>
        <v>46614</v>
      </c>
      <c r="H22" s="24" t="n">
        <v>46538</v>
      </c>
      <c r="I22" s="19" t="str">
        <f aca="false">IF($A22="","",IF(H22="","Not recorded",IF(H22&lt;Methodology!$B$4,"Expired",IF(H22-Methodology!$B$4&lt;=90,"Expiring within 90 days","Valid"))))</f>
        <v>Valid</v>
      </c>
      <c r="J22" s="25" t="n">
        <f aca="false">IF(OR($A22="",Vendor_Register!Y9=""),"",Vendor_Register!Y9)</f>
        <v>46507</v>
      </c>
      <c r="K22" s="25" t="n">
        <f aca="false">IF(J22="","",J22-IF(C22="Critical",180,IF(C22="High",180,IF(C22="Medium",120,90))))</f>
        <v>46387</v>
      </c>
      <c r="L22" s="4" t="str">
        <f aca="false">IF($A22="","",IF(E22="","Not yet assessed",IF(E22&lt;Methodology!$B$4,"Reassessment overdue",IF(I22="Expired","Attestation expired",IF(OR(I22="Expiring within 90 days",E22-Methodology!$B$4&lt;=90),"Action due within 90 days","On track")))))</f>
        <v>Reassessment overdue</v>
      </c>
    </row>
    <row r="23" customFormat="false" ht="15" hidden="false" customHeight="false" outlineLevel="0" collapsed="false">
      <c r="A23" s="12" t="str">
        <f aca="false">IF(Vendor_Register!A10="","",Vendor_Register!A10)</f>
        <v>V-005</v>
      </c>
      <c r="B23" s="4" t="str">
        <f aca="false">IF($A23="","",Vendor_Register!B10)</f>
        <v>Cirrus Backup &amp; Recovery</v>
      </c>
      <c r="C23" s="19" t="str">
        <f aca="false">IF($A23="","",Vendor_Register!M10)</f>
        <v>High</v>
      </c>
      <c r="D23" s="25" t="n">
        <f aca="false">IF(OR($A23="",Vendor_Register!U10=""),"",Vendor_Register!U10)</f>
        <v>45782</v>
      </c>
      <c r="E23" s="25" t="n">
        <f aca="false">IF($A23="","",Vendor_Register!W10)</f>
        <v>46331</v>
      </c>
      <c r="F23" s="12" t="n">
        <f aca="false">IF($A23="","",INDEX(Methodology!$E$20:$E$23,MATCH(C23,Methodology!$A$20:$A$23,0)))</f>
        <v>6</v>
      </c>
      <c r="G23" s="25" t="n">
        <f aca="false">IF(OR($A23="",D23=""),"",IF(F23=0,"At renewal",EDATE(D23,F23*(INT(((YEAR(Methodology!$B$4)-YEAR(D23))*12+MONTH(Methodology!$B$4)-MONTH(D23))/F23)+1))))</f>
        <v>46331</v>
      </c>
      <c r="H23" s="24" t="n">
        <v>46407</v>
      </c>
      <c r="I23" s="19" t="str">
        <f aca="false">IF($A23="","",IF(H23="","Not recorded",IF(H23&lt;Methodology!$B$4,"Expired",IF(H23-Methodology!$B$4&lt;=90,"Expiring within 90 days","Valid"))))</f>
        <v>Expiring within 90 days</v>
      </c>
      <c r="J23" s="25" t="n">
        <f aca="false">IF(OR($A23="",Vendor_Register!Y10=""),"",Vendor_Register!Y10)</f>
        <v>46538</v>
      </c>
      <c r="K23" s="25" t="n">
        <f aca="false">IF(J23="","",J23-IF(C23="Critical",180,IF(C23="High",180,IF(C23="Medium",120,90))))</f>
        <v>46358</v>
      </c>
      <c r="L23" s="4" t="str">
        <f aca="false">IF($A23="","",IF(E23="","Not yet assessed",IF(E23&lt;Methodology!$B$4,"Reassessment overdue",IF(I23="Expired","Attestation expired",IF(OR(I23="Expiring within 90 days",E23-Methodology!$B$4&lt;=90),"Action due within 90 days","On track")))))</f>
        <v>Action due within 90 days</v>
      </c>
    </row>
    <row r="24" customFormat="false" ht="15" hidden="false" customHeight="false" outlineLevel="0" collapsed="false">
      <c r="A24" s="12" t="str">
        <f aca="false">IF(Vendor_Register!A11="","",Vendor_Register!A11)</f>
        <v>V-006</v>
      </c>
      <c r="B24" s="4" t="str">
        <f aca="false">IF($A24="","",Vendor_Register!B11)</f>
        <v>Brightleaf Survey Tool</v>
      </c>
      <c r="C24" s="19" t="str">
        <f aca="false">IF($A24="","",Vendor_Register!M11)</f>
        <v>Low</v>
      </c>
      <c r="D24" s="25" t="n">
        <f aca="false">IF(OR($A24="",Vendor_Register!U11=""),"",Vendor_Register!U11)</f>
        <v>45323</v>
      </c>
      <c r="E24" s="25" t="n">
        <f aca="false">IF($A24="","",Vendor_Register!W11)</f>
        <v>46419</v>
      </c>
      <c r="F24" s="12" t="n">
        <f aca="false">IF($A24="","",INDEX(Methodology!$E$20:$E$23,MATCH(C24,Methodology!$A$20:$A$23,0)))</f>
        <v>0</v>
      </c>
      <c r="G24" s="25" t="str">
        <f aca="false">IF(OR($A24="",D24=""),"",IF(F24=0,"At renewal",EDATE(D24,F24*(INT(((YEAR(Methodology!$B$4)-YEAR(D24))*12+MONTH(Methodology!$B$4)-MONTH(D24))/F24)+1))))</f>
        <v>At renewal</v>
      </c>
      <c r="H24" s="24"/>
      <c r="I24" s="19" t="str">
        <f aca="false">IF($A24="","",IF(H24="","Not recorded",IF(H24&lt;Methodology!$B$4,"Expired",IF(H24-Methodology!$B$4&lt;=90,"Expiring within 90 days","Valid"))))</f>
        <v>Not recorded</v>
      </c>
      <c r="J24" s="25" t="n">
        <f aca="false">IF(OR($A24="",Vendor_Register!Y11=""),"",Vendor_Register!Y11)</f>
        <v>46477</v>
      </c>
      <c r="K24" s="25" t="n">
        <f aca="false">IF(J24="","",J24-IF(C24="Critical",180,IF(C24="High",180,IF(C24="Medium",120,90))))</f>
        <v>46387</v>
      </c>
      <c r="L24" s="4" t="str">
        <f aca="false">IF($A24="","",IF(E24="","Not yet assessed",IF(E24&lt;Methodology!$B$4,"Reassessment overdue",IF(I24="Expired","Attestation expired",IF(OR(I24="Expiring within 90 days",E24-Methodology!$B$4&lt;=90),"Action due within 90 days","On track")))))</f>
        <v>On track</v>
      </c>
    </row>
    <row r="25" customFormat="false" ht="15" hidden="false" customHeight="false" outlineLevel="0" collapsed="false">
      <c r="A25" s="12" t="str">
        <f aca="false">IF(Vendor_Register!A12="","",Vendor_Register!A12)</f>
        <v/>
      </c>
      <c r="B25" s="4" t="str">
        <f aca="false">IF($A25="","",Vendor_Register!B12)</f>
        <v/>
      </c>
      <c r="C25" s="19" t="str">
        <f aca="false">IF($A25="","",Vendor_Register!M12)</f>
        <v/>
      </c>
      <c r="D25" s="25" t="str">
        <f aca="false">IF(OR($A25="",Vendor_Register!U12=""),"",Vendor_Register!U12)</f>
        <v/>
      </c>
      <c r="E25" s="25" t="str">
        <f aca="false">IF($A25="","",Vendor_Register!W12)</f>
        <v/>
      </c>
      <c r="F25" s="12" t="str">
        <f aca="false">IF($A25="","",INDEX(Methodology!$E$20:$E$23,MATCH(C25,Methodology!$A$20:$A$23,0)))</f>
        <v/>
      </c>
      <c r="G25" s="25" t="str">
        <f aca="false">IF(OR($A25="",D25=""),"",IF(F25=0,"At renewal",EDATE(D25,F25*(INT(((YEAR(Methodology!$B$4)-YEAR(D25))*12+MONTH(Methodology!$B$4)-MONTH(D25))/F25)+1))))</f>
        <v/>
      </c>
      <c r="H25" s="24"/>
      <c r="I25" s="19" t="str">
        <f aca="false">IF($A25="","",IF(H25="","Not recorded",IF(H25&lt;Methodology!$B$4,"Expired",IF(H25-Methodology!$B$4&lt;=90,"Expiring within 90 days","Valid"))))</f>
        <v/>
      </c>
      <c r="J25" s="25" t="str">
        <f aca="false">IF(OR($A25="",Vendor_Register!Y12=""),"",Vendor_Register!Y12)</f>
        <v/>
      </c>
      <c r="K25" s="25" t="str">
        <f aca="false">IF(J25="","",J25-IF(C25="Critical",180,IF(C25="High",180,IF(C25="Medium",120,90))))</f>
        <v/>
      </c>
      <c r="L25" s="4" t="str">
        <f aca="false">IF($A25="","",IF(E25="","Not yet assessed",IF(E25&lt;Methodology!$B$4,"Reassessment overdue",IF(I25="Expired","Attestation expired",IF(OR(I25="Expiring within 90 days",E25-Methodology!$B$4&lt;=90),"Action due within 90 days","On track")))))</f>
        <v/>
      </c>
    </row>
    <row r="26" customFormat="false" ht="15" hidden="false" customHeight="false" outlineLevel="0" collapsed="false">
      <c r="A26" s="12" t="str">
        <f aca="false">IF(Vendor_Register!A13="","",Vendor_Register!A13)</f>
        <v/>
      </c>
      <c r="B26" s="4" t="str">
        <f aca="false">IF($A26="","",Vendor_Register!B13)</f>
        <v/>
      </c>
      <c r="C26" s="19" t="str">
        <f aca="false">IF($A26="","",Vendor_Register!M13)</f>
        <v/>
      </c>
      <c r="D26" s="25" t="str">
        <f aca="false">IF(OR($A26="",Vendor_Register!U13=""),"",Vendor_Register!U13)</f>
        <v/>
      </c>
      <c r="E26" s="25" t="str">
        <f aca="false">IF($A26="","",Vendor_Register!W13)</f>
        <v/>
      </c>
      <c r="F26" s="12" t="str">
        <f aca="false">IF($A26="","",INDEX(Methodology!$E$20:$E$23,MATCH(C26,Methodology!$A$20:$A$23,0)))</f>
        <v/>
      </c>
      <c r="G26" s="25" t="str">
        <f aca="false">IF(OR($A26="",D26=""),"",IF(F26=0,"At renewal",EDATE(D26,F26*(INT(((YEAR(Methodology!$B$4)-YEAR(D26))*12+MONTH(Methodology!$B$4)-MONTH(D26))/F26)+1))))</f>
        <v/>
      </c>
      <c r="H26" s="24"/>
      <c r="I26" s="19" t="str">
        <f aca="false">IF($A26="","",IF(H26="","Not recorded",IF(H26&lt;Methodology!$B$4,"Expired",IF(H26-Methodology!$B$4&lt;=90,"Expiring within 90 days","Valid"))))</f>
        <v/>
      </c>
      <c r="J26" s="25" t="str">
        <f aca="false">IF(OR($A26="",Vendor_Register!Y13=""),"",Vendor_Register!Y13)</f>
        <v/>
      </c>
      <c r="K26" s="25" t="str">
        <f aca="false">IF(J26="","",J26-IF(C26="Critical",180,IF(C26="High",180,IF(C26="Medium",120,90))))</f>
        <v/>
      </c>
      <c r="L26" s="4" t="str">
        <f aca="false">IF($A26="","",IF(E26="","Not yet assessed",IF(E26&lt;Methodology!$B$4,"Reassessment overdue",IF(I26="Expired","Attestation expired",IF(OR(I26="Expiring within 90 days",E26-Methodology!$B$4&lt;=90),"Action due within 90 days","On track")))))</f>
        <v/>
      </c>
    </row>
    <row r="27" customFormat="false" ht="15" hidden="false" customHeight="false" outlineLevel="0" collapsed="false">
      <c r="A27" s="12" t="str">
        <f aca="false">IF(Vendor_Register!A14="","",Vendor_Register!A14)</f>
        <v/>
      </c>
      <c r="B27" s="4" t="str">
        <f aca="false">IF($A27="","",Vendor_Register!B14)</f>
        <v/>
      </c>
      <c r="C27" s="19" t="str">
        <f aca="false">IF($A27="","",Vendor_Register!M14)</f>
        <v/>
      </c>
      <c r="D27" s="25" t="str">
        <f aca="false">IF(OR($A27="",Vendor_Register!U14=""),"",Vendor_Register!U14)</f>
        <v/>
      </c>
      <c r="E27" s="25" t="str">
        <f aca="false">IF($A27="","",Vendor_Register!W14)</f>
        <v/>
      </c>
      <c r="F27" s="12" t="str">
        <f aca="false">IF($A27="","",INDEX(Methodology!$E$20:$E$23,MATCH(C27,Methodology!$A$20:$A$23,0)))</f>
        <v/>
      </c>
      <c r="G27" s="25" t="str">
        <f aca="false">IF(OR($A27="",D27=""),"",IF(F27=0,"At renewal",EDATE(D27,F27*(INT(((YEAR(Methodology!$B$4)-YEAR(D27))*12+MONTH(Methodology!$B$4)-MONTH(D27))/F27)+1))))</f>
        <v/>
      </c>
      <c r="H27" s="24"/>
      <c r="I27" s="19" t="str">
        <f aca="false">IF($A27="","",IF(H27="","Not recorded",IF(H27&lt;Methodology!$B$4,"Expired",IF(H27-Methodology!$B$4&lt;=90,"Expiring within 90 days","Valid"))))</f>
        <v/>
      </c>
      <c r="J27" s="25" t="str">
        <f aca="false">IF(OR($A27="",Vendor_Register!Y14=""),"",Vendor_Register!Y14)</f>
        <v/>
      </c>
      <c r="K27" s="25" t="str">
        <f aca="false">IF(J27="","",J27-IF(C27="Critical",180,IF(C27="High",180,IF(C27="Medium",120,90))))</f>
        <v/>
      </c>
      <c r="L27" s="4" t="str">
        <f aca="false">IF($A27="","",IF(E27="","Not yet assessed",IF(E27&lt;Methodology!$B$4,"Reassessment overdue",IF(I27="Expired","Attestation expired",IF(OR(I27="Expiring within 90 days",E27-Methodology!$B$4&lt;=90),"Action due within 90 days","On track")))))</f>
        <v/>
      </c>
    </row>
    <row r="28" customFormat="false" ht="15" hidden="false" customHeight="false" outlineLevel="0" collapsed="false">
      <c r="A28" s="12" t="str">
        <f aca="false">IF(Vendor_Register!A15="","",Vendor_Register!A15)</f>
        <v/>
      </c>
      <c r="B28" s="4" t="str">
        <f aca="false">IF($A28="","",Vendor_Register!B15)</f>
        <v/>
      </c>
      <c r="C28" s="19" t="str">
        <f aca="false">IF($A28="","",Vendor_Register!M15)</f>
        <v/>
      </c>
      <c r="D28" s="25" t="str">
        <f aca="false">IF(OR($A28="",Vendor_Register!U15=""),"",Vendor_Register!U15)</f>
        <v/>
      </c>
      <c r="E28" s="25" t="str">
        <f aca="false">IF($A28="","",Vendor_Register!W15)</f>
        <v/>
      </c>
      <c r="F28" s="12" t="str">
        <f aca="false">IF($A28="","",INDEX(Methodology!$E$20:$E$23,MATCH(C28,Methodology!$A$20:$A$23,0)))</f>
        <v/>
      </c>
      <c r="G28" s="25" t="str">
        <f aca="false">IF(OR($A28="",D28=""),"",IF(F28=0,"At renewal",EDATE(D28,F28*(INT(((YEAR(Methodology!$B$4)-YEAR(D28))*12+MONTH(Methodology!$B$4)-MONTH(D28))/F28)+1))))</f>
        <v/>
      </c>
      <c r="H28" s="24"/>
      <c r="I28" s="19" t="str">
        <f aca="false">IF($A28="","",IF(H28="","Not recorded",IF(H28&lt;Methodology!$B$4,"Expired",IF(H28-Methodology!$B$4&lt;=90,"Expiring within 90 days","Valid"))))</f>
        <v/>
      </c>
      <c r="J28" s="25" t="str">
        <f aca="false">IF(OR($A28="",Vendor_Register!Y15=""),"",Vendor_Register!Y15)</f>
        <v/>
      </c>
      <c r="K28" s="25" t="str">
        <f aca="false">IF(J28="","",J28-IF(C28="Critical",180,IF(C28="High",180,IF(C28="Medium",120,90))))</f>
        <v/>
      </c>
      <c r="L28" s="4" t="str">
        <f aca="false">IF($A28="","",IF(E28="","Not yet assessed",IF(E28&lt;Methodology!$B$4,"Reassessment overdue",IF(I28="Expired","Attestation expired",IF(OR(I28="Expiring within 90 days",E28-Methodology!$B$4&lt;=90),"Action due within 90 days","On track")))))</f>
        <v/>
      </c>
    </row>
    <row r="30" customFormat="false" ht="15" hidden="false" customHeight="false" outlineLevel="0" collapsed="false">
      <c r="A30" s="5" t="s">
        <v>845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</row>
    <row r="31" customFormat="false" ht="15" hidden="false" customHeight="false" outlineLevel="0" collapsed="false">
      <c r="A31" s="35" t="s">
        <v>846</v>
      </c>
    </row>
    <row r="32" customFormat="false" ht="15" hidden="false" customHeight="false" outlineLevel="0" collapsed="false">
      <c r="A32" s="35" t="s">
        <v>847</v>
      </c>
    </row>
    <row r="33" customFormat="false" ht="15" hidden="false" customHeight="false" outlineLevel="0" collapsed="false">
      <c r="A33" s="35" t="s">
        <v>848</v>
      </c>
    </row>
    <row r="34" customFormat="false" ht="15" hidden="false" customHeight="false" outlineLevel="0" collapsed="false">
      <c r="A34" s="35" t="s">
        <v>849</v>
      </c>
    </row>
    <row r="35" customFormat="false" ht="15" hidden="false" customHeight="false" outlineLevel="0" collapsed="false">
      <c r="A35" s="35" t="s">
        <v>850</v>
      </c>
    </row>
    <row r="36" customFormat="false" ht="15" hidden="false" customHeight="false" outlineLevel="0" collapsed="false">
      <c r="A36" s="35" t="s">
        <v>851</v>
      </c>
    </row>
    <row r="37" customFormat="false" ht="15" hidden="false" customHeight="false" outlineLevel="0" collapsed="false">
      <c r="A37" s="35" t="s">
        <v>852</v>
      </c>
    </row>
  </sheetData>
  <conditionalFormatting sqref="C19:C28">
    <cfRule type="cellIs" priority="2" operator="equal" aboveAverage="0" equalAverage="0" bottom="0" percent="0" rank="0" text="" dxfId="0">
      <formula>"Critical"</formula>
    </cfRule>
    <cfRule type="cellIs" priority="3" operator="equal" aboveAverage="0" equalAverage="0" bottom="0" percent="0" rank="0" text="" dxfId="1">
      <formula>"High"</formula>
    </cfRule>
    <cfRule type="cellIs" priority="4" operator="equal" aboveAverage="0" equalAverage="0" bottom="0" percent="0" rank="0" text="" dxfId="2">
      <formula>"Medium"</formula>
    </cfRule>
    <cfRule type="cellIs" priority="5" operator="equal" aboveAverage="0" equalAverage="0" bottom="0" percent="0" rank="0" text="" dxfId="3">
      <formula>"Low"</formula>
    </cfRule>
  </conditionalFormatting>
  <conditionalFormatting sqref="L19:L28">
    <cfRule type="cellIs" priority="6" operator="equal" aboveAverage="0" equalAverage="0" bottom="0" percent="0" rank="0" text="" dxfId="4">
      <formula>"Reassessment overdue"</formula>
    </cfRule>
    <cfRule type="cellIs" priority="7" operator="equal" aboveAverage="0" equalAverage="0" bottom="0" percent="0" rank="0" text="" dxfId="4">
      <formula>"Attestation expired"</formula>
    </cfRule>
    <cfRule type="cellIs" priority="8" operator="equal" aboveAverage="0" equalAverage="0" bottom="0" percent="0" rank="0" text="" dxfId="5">
      <formula>"Action due within 90 days"</formula>
    </cfRule>
    <cfRule type="cellIs" priority="9" operator="equal" aboveAverage="0" equalAverage="0" bottom="0" percent="0" rank="0" text="" dxfId="6">
      <formula>"On track"</formula>
    </cfRule>
  </conditionalFormatting>
  <conditionalFormatting sqref="I19:I28">
    <cfRule type="cellIs" priority="10" operator="equal" aboveAverage="0" equalAverage="0" bottom="0" percent="0" rank="0" text="" dxfId="4">
      <formula>"Expired"</formula>
    </cfRule>
    <cfRule type="cellIs" priority="11" operator="equal" aboveAverage="0" equalAverage="0" bottom="0" percent="0" rank="0" text="" dxfId="5">
      <formula>"Expiring within 90 days"</formula>
    </cfRule>
    <cfRule type="cellIs" priority="12" operator="equal" aboveAverage="0" equalAverage="0" bottom="0" percent="0" rank="0" text="" dxfId="6">
      <formula>"Valid"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2026-10-25T15:25:02Z</dcterms:created>
  <dc:creator>openpyxl</dc:creator>
  <dc:description/>
  <dc:language>en-US</dc:language>
  <cp:lastModifiedBy/>
  <dcterms:modified xsi:type="dcterms:W3CDTF">2026-10-25T15:25:04Z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